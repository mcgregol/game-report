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Steve\Downloads\1-12-26-Game Report\"/>
    </mc:Choice>
  </mc:AlternateContent>
  <xr:revisionPtr revIDLastSave="0" documentId="13_ncr:1_{74824682-829C-43EC-9BCA-E0AA2B68ECA1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  <sheet name="Sheet2" sheetId="2" r:id="rId2"/>
    <sheet name="Sheet1 (2)" sheetId="3" r:id="rId3"/>
    <sheet name="Sheet1 (3)" sheetId="4" r:id="rId4"/>
    <sheet name="Sheet1 (4)" sheetId="7" r:id="rId5"/>
    <sheet name="Sheet1 (5)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1" i="8" l="1"/>
  <c r="V4" i="8"/>
  <c r="W21" i="8"/>
  <c r="W20" i="8"/>
  <c r="V20" i="8"/>
  <c r="W19" i="8"/>
  <c r="V19" i="8"/>
  <c r="W18" i="8"/>
  <c r="V18" i="8"/>
  <c r="W17" i="8"/>
  <c r="V17" i="8"/>
  <c r="W16" i="8"/>
  <c r="V16" i="8"/>
  <c r="W15" i="8"/>
  <c r="V15" i="8"/>
  <c r="W14" i="8"/>
  <c r="V14" i="8"/>
  <c r="W13" i="8"/>
  <c r="V13" i="8"/>
  <c r="W12" i="8"/>
  <c r="V12" i="8"/>
  <c r="W11" i="8"/>
  <c r="V11" i="8"/>
  <c r="W10" i="8"/>
  <c r="V10" i="8"/>
  <c r="W9" i="8"/>
  <c r="V9" i="8"/>
  <c r="W8" i="8"/>
  <c r="V8" i="8"/>
  <c r="W7" i="8"/>
  <c r="V7" i="8"/>
  <c r="W6" i="8"/>
  <c r="V6" i="8"/>
  <c r="W5" i="8"/>
  <c r="V5" i="8"/>
  <c r="W4" i="8"/>
  <c r="W3" i="8"/>
  <c r="V3" i="8"/>
  <c r="W3" i="7"/>
  <c r="V3" i="7"/>
  <c r="W21" i="7"/>
  <c r="V21" i="7"/>
  <c r="W20" i="7"/>
  <c r="V20" i="7"/>
  <c r="W19" i="7"/>
  <c r="V19" i="7"/>
  <c r="W18" i="7"/>
  <c r="V18" i="7"/>
  <c r="W17" i="7"/>
  <c r="V17" i="7"/>
  <c r="W16" i="7"/>
  <c r="V16" i="7"/>
  <c r="W15" i="7"/>
  <c r="V15" i="7"/>
  <c r="W14" i="7"/>
  <c r="V14" i="7"/>
  <c r="W13" i="7"/>
  <c r="V13" i="7"/>
  <c r="W12" i="7"/>
  <c r="V12" i="7"/>
  <c r="W11" i="7"/>
  <c r="V11" i="7"/>
  <c r="W10" i="7"/>
  <c r="V10" i="7"/>
  <c r="W9" i="7"/>
  <c r="V9" i="7"/>
  <c r="W8" i="7"/>
  <c r="V8" i="7"/>
  <c r="W7" i="7"/>
  <c r="V7" i="7"/>
  <c r="W6" i="7"/>
  <c r="V6" i="7"/>
  <c r="W5" i="7"/>
  <c r="V5" i="7"/>
  <c r="W4" i="7"/>
  <c r="V4" i="7"/>
  <c r="V4" i="3"/>
  <c r="V3" i="3"/>
  <c r="W19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20" i="3"/>
  <c r="W21" i="3"/>
  <c r="W3" i="3"/>
  <c r="V10" i="3"/>
  <c r="V11" i="3"/>
  <c r="V12" i="3"/>
  <c r="V6" i="3"/>
  <c r="V20" i="3"/>
  <c r="V16" i="3"/>
  <c r="V5" i="3"/>
  <c r="V18" i="3"/>
  <c r="V19" i="3"/>
  <c r="V8" i="3"/>
  <c r="V9" i="3"/>
  <c r="V13" i="3"/>
  <c r="V14" i="3"/>
  <c r="V21" i="3"/>
  <c r="V7" i="3"/>
  <c r="V15" i="3"/>
  <c r="V17" i="3"/>
</calcChain>
</file>

<file path=xl/sharedStrings.xml><?xml version="1.0" encoding="utf-8"?>
<sst xmlns="http://schemas.openxmlformats.org/spreadsheetml/2006/main" count="873" uniqueCount="45">
  <si>
    <t>PLAYER_NAME</t>
  </si>
  <si>
    <t>Total Supra Max Efforts</t>
  </si>
  <si>
    <t>Mattias Samuelsson</t>
  </si>
  <si>
    <t>Rasmus Dahlin</t>
  </si>
  <si>
    <t>Ryan McLeod</t>
  </si>
  <si>
    <t>Bowen Byram</t>
  </si>
  <si>
    <t>Owen Power</t>
  </si>
  <si>
    <t>Conor Timmins</t>
  </si>
  <si>
    <t>Peyton Krebs</t>
  </si>
  <si>
    <t>Tage Thompson</t>
  </si>
  <si>
    <t>Jack Quinn</t>
  </si>
  <si>
    <t>Josh Doan</t>
  </si>
  <si>
    <t>Beck Malenstyn</t>
  </si>
  <si>
    <t>Jacob Bryson</t>
  </si>
  <si>
    <t>Date</t>
  </si>
  <si>
    <t>DTL</t>
  </si>
  <si>
    <t>CTL</t>
  </si>
  <si>
    <t>NAME</t>
  </si>
  <si>
    <t>Zach Benson</t>
  </si>
  <si>
    <t>Supra Max Efforts</t>
  </si>
  <si>
    <t>Very High Intensity Efforts</t>
  </si>
  <si>
    <t>Jordan Greenway</t>
  </si>
  <si>
    <t>Game Only DTL</t>
  </si>
  <si>
    <t>Freshness                    (7 day)  (3day)</t>
  </si>
  <si>
    <t>Josh Dunne</t>
  </si>
  <si>
    <t>Alex Lyon</t>
  </si>
  <si>
    <t>Tyson Kozak</t>
  </si>
  <si>
    <t>Isak Rosen</t>
  </si>
  <si>
    <t>Total Day DTL</t>
  </si>
  <si>
    <t>Trevor Kuntar</t>
  </si>
  <si>
    <t>Name</t>
  </si>
  <si>
    <t>Short Fat</t>
  </si>
  <si>
    <t>Cum Fat</t>
  </si>
  <si>
    <t>Alex Tuch</t>
  </si>
  <si>
    <t>Noah Ostlund</t>
  </si>
  <si>
    <t>Josh Norris</t>
  </si>
  <si>
    <t>Period1</t>
  </si>
  <si>
    <t>Period2</t>
  </si>
  <si>
    <t>Period3</t>
  </si>
  <si>
    <t>Date of DTE</t>
  </si>
  <si>
    <t>Average</t>
  </si>
  <si>
    <t>Zach Metsa</t>
  </si>
  <si>
    <t>Avg Supra Max Efforts</t>
  </si>
  <si>
    <t>Jason Zucker</t>
  </si>
  <si>
    <t>Colten Ellis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</si>
</sst>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yyyy\-mm\-dd"/>
    <numFmt numFmtId="166" formatCode="dd/mm/yyyy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horizontal="center" wrapText="1"/>
    </xf>
    <xf numFmtId="10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 wrapText="1"/>
    </xf>
    <xf numFmtId="10" fontId="0" fillId="0" borderId="0" xfId="0" applyNumberFormat="1" applyAlignment="1">
      <alignment horizontal="center"/>
    </xf>
    <xf numFmtId="2" fontId="0" fillId="0" borderId="0" xfId="0" applyNumberFormat="1"/>
    <xf numFmtId="0" fontId="2" fillId="0" borderId="0" xfId="0" applyFont="1"/>
    <xf numFmtId="166" fontId="0" fillId="0" borderId="0" xfId="0" applyNumberFormat="1"/>
    <xf numFmtId="10" fontId="1" fillId="0" borderId="0" xfId="0" applyNumberFormat="1" applyFont="1" applyAlignment="1">
      <alignment horizontal="center"/>
    </xf>
    <xf numFmtId="0" fontId="1" fillId="0" borderId="0" xfId="0" applyFont="1"/>
    <xf numFmtId="2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/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84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BB13C-7970-498D-9452-E3283D98E936}">
  <dimension ref="A1:J46"/>
  <sheetViews>
    <sheetView tabSelected="1" topLeftCell="A24" workbookViewId="0">
      <selection activeCell="B39" sqref="B39"/>
    </sheetView>
  </sheetViews>
  <sheetFormatPr defaultRowHeight="13.2" x14ac:dyDescent="0.25"/>
  <cols>
    <col min="1" max="1" width="20.33203125" customWidth="1"/>
    <col min="2" max="2" width="22.109375" style="2" customWidth="1"/>
    <col min="4" max="4" width="19.21875" customWidth="1"/>
    <col min="5" max="6" width="13.5546875" style="2" customWidth="1"/>
    <col min="7" max="7" width="7.88671875" customWidth="1"/>
    <col min="8" max="8" width="14.33203125" customWidth="1"/>
    <col min="10" max="10" width="11.109375" customWidth="1"/>
  </cols>
  <sheetData>
    <row r="1" spans="1:6" x14ac:dyDescent="0.25">
      <c r="B1" s="3"/>
      <c r="E1" s="3"/>
      <c r="F1" s="3"/>
    </row>
    <row r="2" spans="1:6" s="1" customFormat="1" ht="39.6" x14ac:dyDescent="0.25">
      <c r="A2" s="8" t="s">
        <v>0</v>
      </c>
      <c r="B2" s="9" t="s">
        <v>1</v>
      </c>
      <c r="C2" s="8"/>
      <c r="D2" s="8" t="s">
        <v>0</v>
      </c>
      <c r="E2" s="10" t="s">
        <v>19</v>
      </c>
      <c r="F2" s="10" t="s">
        <v>20</v>
      </c>
    </row>
    <row r="3" spans="1:6" x14ac:dyDescent="0.25">
      <c r="A3" t="s">
        <v>6</v>
      </c>
      <c r="B3" s="3">
        <v>7.6999999999999999E-2</v>
      </c>
      <c r="D3" t="s">
        <v>44</v>
      </c>
      <c r="E3" s="14">
        <v>1.7361000000000002</v>
      </c>
      <c r="F3" s="14">
        <v>1.38</v>
      </c>
    </row>
    <row r="4" spans="1:6" x14ac:dyDescent="0.25">
      <c r="A4" t="s">
        <v>11</v>
      </c>
      <c r="B4" s="3">
        <v>7.0999999999999994E-2</v>
      </c>
      <c r="D4" t="s">
        <v>43</v>
      </c>
      <c r="E4" s="14">
        <v>1.2151000000000001</v>
      </c>
      <c r="F4" s="14">
        <v>1.2290999999999999</v>
      </c>
    </row>
    <row r="5" spans="1:6" x14ac:dyDescent="0.25">
      <c r="A5" t="s">
        <v>5</v>
      </c>
      <c r="B5" s="3">
        <v>7.0000000000000007E-2</v>
      </c>
      <c r="D5" t="s">
        <v>11</v>
      </c>
      <c r="E5" s="14">
        <v>1.2106999999999999</v>
      </c>
      <c r="F5" s="14">
        <v>1.133</v>
      </c>
    </row>
    <row r="6" spans="1:6" x14ac:dyDescent="0.25">
      <c r="A6" t="s">
        <v>3</v>
      </c>
      <c r="B6" s="3">
        <v>7.0000000000000007E-2</v>
      </c>
      <c r="D6" t="s">
        <v>6</v>
      </c>
      <c r="E6" s="14">
        <v>1.1689000000000001</v>
      </c>
      <c r="F6" s="14">
        <v>1.1098999999999999</v>
      </c>
    </row>
    <row r="7" spans="1:6" x14ac:dyDescent="0.25">
      <c r="A7" t="s">
        <v>43</v>
      </c>
      <c r="B7" s="3">
        <v>6.8000000000000005E-2</v>
      </c>
      <c r="D7" t="s">
        <v>3</v>
      </c>
      <c r="E7" s="14">
        <v>1.1279000000000001</v>
      </c>
      <c r="F7" s="14">
        <v>1.0949</v>
      </c>
    </row>
    <row r="8" spans="1:6" x14ac:dyDescent="0.25">
      <c r="A8" t="s">
        <v>18</v>
      </c>
      <c r="B8" s="3">
        <v>6.6000000000000003E-2</v>
      </c>
      <c r="D8" t="s">
        <v>18</v>
      </c>
      <c r="E8" s="14">
        <v>1.1225000000000001</v>
      </c>
      <c r="F8" s="14">
        <v>1.1725000000000001</v>
      </c>
    </row>
    <row r="9" spans="1:6" x14ac:dyDescent="0.25">
      <c r="A9" t="s">
        <v>2</v>
      </c>
      <c r="B9" s="3">
        <v>6.6000000000000003E-2</v>
      </c>
      <c r="D9" t="s">
        <v>35</v>
      </c>
      <c r="E9" s="14">
        <v>1.1181999999999999</v>
      </c>
      <c r="F9" s="14">
        <v>1.0973999999999999</v>
      </c>
    </row>
    <row r="10" spans="1:6" x14ac:dyDescent="0.25">
      <c r="A10" t="s">
        <v>8</v>
      </c>
      <c r="B10" s="3">
        <v>6.3E-2</v>
      </c>
      <c r="D10" t="s">
        <v>9</v>
      </c>
      <c r="E10" s="14">
        <v>1.1073999999999999</v>
      </c>
      <c r="F10" s="14">
        <v>1.1176999999999999</v>
      </c>
    </row>
    <row r="11" spans="1:6" x14ac:dyDescent="0.25">
      <c r="A11" t="s">
        <v>35</v>
      </c>
      <c r="B11" s="3">
        <v>6.0999999999999999E-2</v>
      </c>
      <c r="D11" t="s">
        <v>4</v>
      </c>
      <c r="E11" s="14">
        <v>1.0591999999999999</v>
      </c>
      <c r="F11" s="14">
        <v>0.98530000000000006</v>
      </c>
    </row>
    <row r="12" spans="1:6" x14ac:dyDescent="0.25">
      <c r="A12" t="s">
        <v>9</v>
      </c>
      <c r="B12" s="3">
        <v>5.9000000000000004E-2</v>
      </c>
      <c r="D12" t="s">
        <v>5</v>
      </c>
      <c r="E12" s="14">
        <v>1.0518000000000001</v>
      </c>
      <c r="F12" s="14">
        <v>1.0133000000000001</v>
      </c>
    </row>
    <row r="13" spans="1:6" x14ac:dyDescent="0.25">
      <c r="A13" t="s">
        <v>33</v>
      </c>
      <c r="B13" s="3">
        <v>5.7000000000000002E-2</v>
      </c>
      <c r="D13" t="s">
        <v>33</v>
      </c>
      <c r="E13" s="14">
        <v>1.0353000000000001</v>
      </c>
      <c r="F13" s="14">
        <v>1.0427</v>
      </c>
    </row>
    <row r="14" spans="1:6" x14ac:dyDescent="0.25">
      <c r="A14" t="s">
        <v>10</v>
      </c>
      <c r="B14" s="3">
        <v>5.5E-2</v>
      </c>
      <c r="D14" t="s">
        <v>8</v>
      </c>
      <c r="E14" s="14">
        <v>1.0231000000000001</v>
      </c>
      <c r="F14" s="14">
        <v>1.0691999999999999</v>
      </c>
    </row>
    <row r="15" spans="1:6" x14ac:dyDescent="0.25">
      <c r="A15" t="s">
        <v>4</v>
      </c>
      <c r="B15" s="3">
        <v>5.4000000000000006E-2</v>
      </c>
      <c r="D15" t="s">
        <v>10</v>
      </c>
      <c r="E15" s="14">
        <v>0.99840000000000007</v>
      </c>
      <c r="F15" s="14">
        <v>1.0083</v>
      </c>
    </row>
    <row r="16" spans="1:6" x14ac:dyDescent="0.25">
      <c r="A16" t="s">
        <v>41</v>
      </c>
      <c r="B16" s="3">
        <v>3.7999999999999999E-2</v>
      </c>
      <c r="D16" t="s">
        <v>41</v>
      </c>
      <c r="E16" s="14">
        <v>0.97829999999999995</v>
      </c>
      <c r="F16" s="14">
        <v>0.96959999999999991</v>
      </c>
    </row>
    <row r="17" spans="1:10" x14ac:dyDescent="0.25">
      <c r="A17" t="s">
        <v>13</v>
      </c>
      <c r="B17" s="3">
        <v>3.3000000000000002E-2</v>
      </c>
      <c r="D17" t="s">
        <v>2</v>
      </c>
      <c r="E17" s="14">
        <v>0.93110000000000004</v>
      </c>
      <c r="F17" s="14">
        <v>0.95730000000000004</v>
      </c>
    </row>
    <row r="18" spans="1:10" x14ac:dyDescent="0.25">
      <c r="A18" t="s">
        <v>12</v>
      </c>
      <c r="B18" s="3">
        <v>2.7999999999999997E-2</v>
      </c>
      <c r="D18" t="s">
        <v>13</v>
      </c>
      <c r="E18" s="14">
        <v>0.89760000000000006</v>
      </c>
      <c r="F18" s="14">
        <v>0.93049999999999999</v>
      </c>
    </row>
    <row r="19" spans="1:10" x14ac:dyDescent="0.25">
      <c r="A19" t="s">
        <v>21</v>
      </c>
      <c r="B19" s="3">
        <v>2.7000000000000003E-2</v>
      </c>
      <c r="D19" t="s">
        <v>21</v>
      </c>
      <c r="E19" s="14">
        <v>0.72250000000000003</v>
      </c>
      <c r="F19" s="14">
        <v>0.65949999999999998</v>
      </c>
    </row>
    <row r="20" spans="1:10" x14ac:dyDescent="0.25">
      <c r="A20" t="s">
        <v>24</v>
      </c>
      <c r="B20" s="3">
        <v>2.5000000000000001E-2</v>
      </c>
      <c r="D20" t="s">
        <v>12</v>
      </c>
      <c r="E20" s="14">
        <v>0.69769999999999999</v>
      </c>
      <c r="F20" s="14">
        <v>0.66890000000000005</v>
      </c>
    </row>
    <row r="21" spans="1:10" x14ac:dyDescent="0.25">
      <c r="A21" t="s">
        <v>44</v>
      </c>
      <c r="B21" s="3">
        <v>1.3000000000000001E-2</v>
      </c>
      <c r="D21" t="s">
        <v>24</v>
      </c>
      <c r="E21" s="14">
        <v>0.65400000000000003</v>
      </c>
      <c r="F21" s="14">
        <v>0.67370000000000008</v>
      </c>
    </row>
    <row r="24" spans="1:10" x14ac:dyDescent="0.25">
      <c r="A24" s="2"/>
      <c r="B24"/>
      <c r="D24" s="2"/>
      <c r="F24"/>
    </row>
    <row r="25" spans="1:10" x14ac:dyDescent="0.25">
      <c r="A25" s="2"/>
      <c r="B25"/>
      <c r="D25" s="2"/>
      <c r="F25"/>
    </row>
    <row r="26" spans="1:10" x14ac:dyDescent="0.25">
      <c r="A26" s="2"/>
      <c r="B26"/>
      <c r="D26" s="2"/>
      <c r="F26"/>
    </row>
    <row r="27" spans="1:10" ht="13.2" customHeight="1" x14ac:dyDescent="0.25">
      <c r="A27" s="11" t="s">
        <v>17</v>
      </c>
      <c r="B27" s="13" t="s">
        <v>15</v>
      </c>
      <c r="C27" s="13" t="s">
        <v>16</v>
      </c>
      <c r="D27" s="20" t="s">
        <v>23</v>
      </c>
      <c r="E27" s="20"/>
      <c r="F27" s="5"/>
      <c r="G27" s="21" t="s">
        <v>22</v>
      </c>
      <c r="H27" s="21"/>
      <c r="J27" s="2"/>
    </row>
    <row r="28" spans="1:10" x14ac:dyDescent="0.25">
      <c r="A28" s="23" t="s">
        <v>44</v>
      </c>
      <c r="B28" s="24">
        <v>272.11149999999998</v>
      </c>
      <c r="C28" s="24">
        <v>76.91</v>
      </c>
      <c r="D28" s="24">
        <v>-28.199000000000002</v>
      </c>
      <c r="E28" s="24">
        <v>-68.3369</v>
      </c>
      <c r="F28" s="5"/>
      <c r="G28" s="23" t="s">
        <v>43</v>
      </c>
      <c r="H28" s="24">
        <v>193.47290000000001</v>
      </c>
    </row>
    <row r="29" spans="1:10" x14ac:dyDescent="0.25">
      <c r="A29" s="23" t="s">
        <v>6</v>
      </c>
      <c r="B29" s="24">
        <v>240.0847</v>
      </c>
      <c r="C29" s="24">
        <v>104.9764</v>
      </c>
      <c r="D29" s="24">
        <v>-15.6869</v>
      </c>
      <c r="E29" s="24">
        <v>-35.398600000000002</v>
      </c>
      <c r="G29" s="23" t="s">
        <v>44</v>
      </c>
      <c r="H29" s="24">
        <v>192.68360000000001</v>
      </c>
    </row>
    <row r="30" spans="1:10" x14ac:dyDescent="0.25">
      <c r="A30" s="23" t="s">
        <v>9</v>
      </c>
      <c r="B30" s="24">
        <v>238.64</v>
      </c>
      <c r="C30" s="24">
        <v>102.3583</v>
      </c>
      <c r="D30" s="24">
        <v>-16.361000000000001</v>
      </c>
      <c r="E30" s="24">
        <v>-38.257199999999997</v>
      </c>
      <c r="G30" s="23" t="s">
        <v>6</v>
      </c>
      <c r="H30" s="24">
        <v>189.01820000000001</v>
      </c>
    </row>
    <row r="31" spans="1:10" x14ac:dyDescent="0.25">
      <c r="A31" s="23" t="s">
        <v>43</v>
      </c>
      <c r="B31" s="24">
        <v>237.14769999999999</v>
      </c>
      <c r="C31" s="24">
        <v>66.977199999999996</v>
      </c>
      <c r="D31" s="24">
        <v>-39.668399999999998</v>
      </c>
      <c r="E31" s="24">
        <v>-71.073499999999996</v>
      </c>
      <c r="G31" s="23" t="s">
        <v>3</v>
      </c>
      <c r="H31" s="24">
        <v>181.29040000000001</v>
      </c>
    </row>
    <row r="32" spans="1:10" x14ac:dyDescent="0.25">
      <c r="A32" s="23" t="s">
        <v>18</v>
      </c>
      <c r="B32" s="24">
        <v>235.2903</v>
      </c>
      <c r="C32" s="24">
        <v>92.640199999999993</v>
      </c>
      <c r="D32" s="24">
        <v>-17.167100000000001</v>
      </c>
      <c r="E32" s="24">
        <v>-32.659500000000001</v>
      </c>
      <c r="G32" s="23" t="s">
        <v>2</v>
      </c>
      <c r="H32" s="24">
        <v>180.68279999999999</v>
      </c>
    </row>
    <row r="33" spans="1:8" x14ac:dyDescent="0.25">
      <c r="A33" s="23" t="s">
        <v>3</v>
      </c>
      <c r="B33" s="24">
        <v>234.6404</v>
      </c>
      <c r="C33" s="24">
        <v>97.529300000000006</v>
      </c>
      <c r="D33" s="24">
        <v>-18.429200000000002</v>
      </c>
      <c r="E33" s="24">
        <v>-38.806100000000001</v>
      </c>
      <c r="G33" s="23" t="s">
        <v>4</v>
      </c>
      <c r="H33" s="24">
        <v>176.30959999999999</v>
      </c>
    </row>
    <row r="34" spans="1:8" x14ac:dyDescent="0.25">
      <c r="A34" s="23" t="s">
        <v>4</v>
      </c>
      <c r="B34" s="24">
        <v>229.4195</v>
      </c>
      <c r="C34" s="24">
        <v>98.418800000000005</v>
      </c>
      <c r="D34" s="24">
        <v>-11.3543</v>
      </c>
      <c r="E34" s="24">
        <v>-31.159500000000001</v>
      </c>
      <c r="G34" s="23" t="s">
        <v>9</v>
      </c>
      <c r="H34" s="24">
        <v>175.9513</v>
      </c>
    </row>
    <row r="35" spans="1:8" x14ac:dyDescent="0.25">
      <c r="A35" s="23" t="s">
        <v>2</v>
      </c>
      <c r="B35" s="24">
        <v>225.50909999999999</v>
      </c>
      <c r="C35" s="24">
        <v>97.611099999999993</v>
      </c>
      <c r="D35" s="24">
        <v>-17.52</v>
      </c>
      <c r="E35" s="24">
        <v>-37.006100000000004</v>
      </c>
      <c r="G35" s="23" t="s">
        <v>35</v>
      </c>
      <c r="H35" s="24">
        <v>171.233</v>
      </c>
    </row>
    <row r="36" spans="1:8" x14ac:dyDescent="0.25">
      <c r="A36" s="23" t="s">
        <v>35</v>
      </c>
      <c r="B36" s="24">
        <v>220.8623</v>
      </c>
      <c r="C36" s="24">
        <v>85.672899999999998</v>
      </c>
      <c r="D36" s="24">
        <v>-29.325299999999999</v>
      </c>
      <c r="E36" s="24">
        <v>-46.381900000000002</v>
      </c>
      <c r="G36" s="23" t="s">
        <v>5</v>
      </c>
      <c r="H36" s="24">
        <v>166.428</v>
      </c>
    </row>
    <row r="37" spans="1:8" x14ac:dyDescent="0.25">
      <c r="A37" s="23" t="s">
        <v>5</v>
      </c>
      <c r="B37" s="24">
        <v>218.82589999999999</v>
      </c>
      <c r="C37" s="24">
        <v>100.0262</v>
      </c>
      <c r="D37" s="24">
        <v>-15.380800000000001</v>
      </c>
      <c r="E37" s="24">
        <v>-32.630299999999998</v>
      </c>
      <c r="G37" s="23" t="s">
        <v>8</v>
      </c>
      <c r="H37" s="24">
        <v>166.3126</v>
      </c>
    </row>
    <row r="38" spans="1:8" x14ac:dyDescent="0.25">
      <c r="A38" s="23" t="s">
        <v>41</v>
      </c>
      <c r="B38" s="24">
        <v>205.8296</v>
      </c>
      <c r="C38" s="24">
        <v>87.168599999999998</v>
      </c>
      <c r="D38" s="24">
        <v>-24.099299999999999</v>
      </c>
      <c r="E38" s="24">
        <v>-37.745699999999999</v>
      </c>
      <c r="G38" s="23" t="s">
        <v>18</v>
      </c>
      <c r="H38" s="24">
        <v>165.82310000000001</v>
      </c>
    </row>
    <row r="39" spans="1:8" x14ac:dyDescent="0.25">
      <c r="A39" s="23" t="s">
        <v>11</v>
      </c>
      <c r="B39" s="24">
        <v>205.13929999999999</v>
      </c>
      <c r="C39" s="24">
        <v>98.178100000000001</v>
      </c>
      <c r="D39" s="24">
        <v>-13.7218</v>
      </c>
      <c r="E39" s="24">
        <v>-24.812999999999999</v>
      </c>
      <c r="G39" s="23" t="s">
        <v>11</v>
      </c>
      <c r="H39" s="24">
        <v>160.83690000000001</v>
      </c>
    </row>
    <row r="40" spans="1:8" x14ac:dyDescent="0.25">
      <c r="A40" s="23" t="s">
        <v>8</v>
      </c>
      <c r="B40" s="24">
        <v>201.5642</v>
      </c>
      <c r="C40" s="24">
        <v>91.835999999999999</v>
      </c>
      <c r="D40" s="24">
        <v>-14.934799999999999</v>
      </c>
      <c r="E40" s="24">
        <v>-30.750499999999999</v>
      </c>
      <c r="G40" s="23" t="s">
        <v>41</v>
      </c>
      <c r="H40" s="24">
        <v>159.2664</v>
      </c>
    </row>
    <row r="41" spans="1:8" x14ac:dyDescent="0.25">
      <c r="A41" s="23" t="s">
        <v>10</v>
      </c>
      <c r="B41" s="24">
        <v>201.19540000000001</v>
      </c>
      <c r="C41" s="24">
        <v>105.7765</v>
      </c>
      <c r="D41" s="24">
        <v>-6.5740999999999996</v>
      </c>
      <c r="E41" s="24">
        <v>-14.9695</v>
      </c>
      <c r="G41" s="23" t="s">
        <v>33</v>
      </c>
      <c r="H41" s="24">
        <v>157.8192</v>
      </c>
    </row>
    <row r="42" spans="1:8" x14ac:dyDescent="0.25">
      <c r="A42" s="23" t="s">
        <v>13</v>
      </c>
      <c r="B42" s="24">
        <v>196.9213</v>
      </c>
      <c r="C42" s="24">
        <v>77.351799999999997</v>
      </c>
      <c r="D42" s="24">
        <v>-20.284700000000001</v>
      </c>
      <c r="E42" s="24">
        <v>-38.348399999999998</v>
      </c>
      <c r="G42" s="23" t="s">
        <v>13</v>
      </c>
      <c r="H42" s="24">
        <v>155.7962</v>
      </c>
    </row>
    <row r="43" spans="1:8" x14ac:dyDescent="0.25">
      <c r="A43" s="23" t="s">
        <v>33</v>
      </c>
      <c r="B43" s="24">
        <v>193.98400000000001</v>
      </c>
      <c r="C43" s="24">
        <v>93.544600000000003</v>
      </c>
      <c r="D43" s="24">
        <v>-12.474600000000001</v>
      </c>
      <c r="E43" s="24">
        <v>-25.944299999999998</v>
      </c>
      <c r="G43" s="23" t="s">
        <v>12</v>
      </c>
      <c r="H43" s="24">
        <v>144.08090000000001</v>
      </c>
    </row>
    <row r="44" spans="1:8" x14ac:dyDescent="0.25">
      <c r="A44" s="23" t="s">
        <v>12</v>
      </c>
      <c r="B44" s="24">
        <v>185.768</v>
      </c>
      <c r="C44" s="24">
        <v>97.118799999999993</v>
      </c>
      <c r="D44" s="24">
        <v>-12.7844</v>
      </c>
      <c r="E44" s="24">
        <v>-22.222000000000001</v>
      </c>
      <c r="G44" s="23" t="s">
        <v>10</v>
      </c>
      <c r="H44" s="24">
        <v>134.09350000000001</v>
      </c>
    </row>
    <row r="45" spans="1:8" x14ac:dyDescent="0.25">
      <c r="A45" s="23" t="s">
        <v>24</v>
      </c>
      <c r="B45" s="24">
        <v>168.4314</v>
      </c>
      <c r="C45" s="24">
        <v>75.108099999999993</v>
      </c>
      <c r="D45" s="24">
        <v>-1.3697999999999999</v>
      </c>
      <c r="E45" s="24">
        <v>-16.434699999999999</v>
      </c>
      <c r="G45" s="23" t="s">
        <v>21</v>
      </c>
      <c r="H45" s="24">
        <v>118.3719</v>
      </c>
    </row>
    <row r="46" spans="1:8" x14ac:dyDescent="0.25">
      <c r="A46" s="23" t="s">
        <v>21</v>
      </c>
      <c r="B46" s="24">
        <v>166.94540000000001</v>
      </c>
      <c r="C46" s="24">
        <v>79.679400000000001</v>
      </c>
      <c r="D46" s="24">
        <v>-24.184999999999999</v>
      </c>
      <c r="E46" s="24">
        <v>-33.129899999999999</v>
      </c>
      <c r="G46" s="23" t="s">
        <v>24</v>
      </c>
      <c r="H46" s="24">
        <v>115.5856</v>
      </c>
    </row>
  </sheetData>
  <mergeCells count="2">
    <mergeCell ref="D27:E27"/>
    <mergeCell ref="G27:H27"/>
  </mergeCells>
  <conditionalFormatting sqref="B3:B21">
    <cfRule type="colorScale" priority="126">
      <colorScale>
        <cfvo type="min"/>
        <cfvo type="max"/>
        <color rgb="FFFF7128"/>
        <color rgb="FF92D050"/>
      </colorScale>
    </cfRule>
  </conditionalFormatting>
  <conditionalFormatting sqref="E3:E21">
    <cfRule type="colorScale" priority="127">
      <colorScale>
        <cfvo type="min"/>
        <cfvo type="percentile" val="50"/>
        <cfvo type="max"/>
        <color rgb="FF00B050"/>
        <color rgb="FFFFEB84"/>
        <color rgb="FFFF0000"/>
      </colorScale>
    </cfRule>
    <cfRule type="cellIs" dxfId="80" priority="128" operator="greaterThan">
      <formula>120</formula>
    </cfRule>
    <cfRule type="cellIs" dxfId="79" priority="129" operator="between">
      <formula>105</formula>
      <formula>120</formula>
    </cfRule>
    <cfRule type="colorScale" priority="130">
      <colorScale>
        <cfvo type="min"/>
        <cfvo type="max"/>
        <color rgb="FF92D050"/>
        <color rgb="FFFF0000"/>
      </colorScale>
    </cfRule>
  </conditionalFormatting>
  <conditionalFormatting sqref="F3:F21">
    <cfRule type="colorScale" priority="131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D28:D46">
    <cfRule type="cellIs" dxfId="17" priority="1" operator="between">
      <formula>-30</formula>
      <formula>-20</formula>
    </cfRule>
    <cfRule type="cellIs" dxfId="16" priority="2" operator="between">
      <formula>-40</formula>
      <formula>-30</formula>
    </cfRule>
    <cfRule type="cellIs" dxfId="15" priority="3" operator="lessThanOrEqual">
      <formula>-40</formula>
    </cfRule>
  </conditionalFormatting>
  <conditionalFormatting sqref="E28:E46">
    <cfRule type="cellIs" dxfId="14" priority="4" operator="between">
      <formula>-40</formula>
      <formula>-30</formula>
    </cfRule>
    <cfRule type="cellIs" dxfId="13" priority="5" operator="between">
      <formula>-60</formula>
      <formula>-40</formula>
    </cfRule>
    <cfRule type="cellIs" dxfId="12" priority="6" operator="lessThanOrEqual">
      <formula>-60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51E2A-0A61-4B04-B104-88A883F4DBE7}">
  <dimension ref="A1:I20"/>
  <sheetViews>
    <sheetView workbookViewId="0">
      <selection activeCell="B1" sqref="B1:I20"/>
    </sheetView>
  </sheetViews>
  <sheetFormatPr defaultRowHeight="13.2" x14ac:dyDescent="0.25"/>
  <cols>
    <col min="1" max="1" width="14.88671875" style="2" customWidth="1"/>
    <col min="2" max="2" width="21.33203125" style="7" customWidth="1"/>
    <col min="3" max="4" width="8.88671875" style="2"/>
    <col min="5" max="6" width="7.33203125" style="2" customWidth="1"/>
    <col min="7" max="7" width="3.88671875" style="2" customWidth="1"/>
    <col min="8" max="8" width="20.6640625" style="2" customWidth="1"/>
    <col min="9" max="9" width="8.44140625" style="2" customWidth="1"/>
    <col min="10" max="16384" width="8.88671875" style="2"/>
  </cols>
  <sheetData>
    <row r="1" spans="1:9" s="5" customFormat="1" ht="26.4" customHeight="1" x14ac:dyDescent="0.25">
      <c r="A1" s="4" t="s">
        <v>14</v>
      </c>
      <c r="B1" s="11" t="s">
        <v>17</v>
      </c>
      <c r="C1" s="13" t="s">
        <v>15</v>
      </c>
      <c r="D1" s="13" t="s">
        <v>16</v>
      </c>
      <c r="E1" s="20" t="s">
        <v>23</v>
      </c>
      <c r="F1" s="20"/>
      <c r="H1" s="21" t="s">
        <v>22</v>
      </c>
      <c r="I1" s="21"/>
    </row>
    <row r="2" spans="1:9" x14ac:dyDescent="0.25">
      <c r="A2" s="6"/>
      <c r="B2" s="22" t="s">
        <v>44</v>
      </c>
      <c r="C2" s="12">
        <v>272.11149999999998</v>
      </c>
      <c r="D2" s="12">
        <v>76.91</v>
      </c>
      <c r="E2" s="12">
        <v>-28.199000000000002</v>
      </c>
      <c r="F2" s="12">
        <v>-68.3369</v>
      </c>
      <c r="G2" s="5"/>
      <c r="H2" s="7" t="s">
        <v>43</v>
      </c>
      <c r="I2" s="12">
        <v>193.47290000000001</v>
      </c>
    </row>
    <row r="3" spans="1:9" x14ac:dyDescent="0.25">
      <c r="B3" s="22" t="s">
        <v>6</v>
      </c>
      <c r="C3" s="12">
        <v>240.0847</v>
      </c>
      <c r="D3" s="12">
        <v>104.9764</v>
      </c>
      <c r="E3" s="12">
        <v>-15.6869</v>
      </c>
      <c r="F3" s="12">
        <v>-35.398600000000002</v>
      </c>
      <c r="H3" s="7" t="s">
        <v>44</v>
      </c>
      <c r="I3" s="12">
        <v>192.68360000000001</v>
      </c>
    </row>
    <row r="4" spans="1:9" x14ac:dyDescent="0.25">
      <c r="B4" s="22" t="s">
        <v>9</v>
      </c>
      <c r="C4" s="12">
        <v>238.64</v>
      </c>
      <c r="D4" s="12">
        <v>102.3583</v>
      </c>
      <c r="E4" s="12">
        <v>-16.361000000000001</v>
      </c>
      <c r="F4" s="12">
        <v>-38.257199999999997</v>
      </c>
      <c r="H4" s="7" t="s">
        <v>6</v>
      </c>
      <c r="I4" s="12">
        <v>189.01820000000001</v>
      </c>
    </row>
    <row r="5" spans="1:9" x14ac:dyDescent="0.25">
      <c r="B5" s="22" t="s">
        <v>43</v>
      </c>
      <c r="C5" s="12">
        <v>237.14769999999999</v>
      </c>
      <c r="D5" s="12">
        <v>66.977199999999996</v>
      </c>
      <c r="E5" s="12">
        <v>-39.668399999999998</v>
      </c>
      <c r="F5" s="12">
        <v>-71.073499999999996</v>
      </c>
      <c r="H5" s="7" t="s">
        <v>3</v>
      </c>
      <c r="I5" s="12">
        <v>181.29040000000001</v>
      </c>
    </row>
    <row r="6" spans="1:9" x14ac:dyDescent="0.25">
      <c r="B6" s="22" t="s">
        <v>18</v>
      </c>
      <c r="C6" s="12">
        <v>235.2903</v>
      </c>
      <c r="D6" s="12">
        <v>92.640199999999993</v>
      </c>
      <c r="E6" s="12">
        <v>-17.167100000000001</v>
      </c>
      <c r="F6" s="12">
        <v>-32.659500000000001</v>
      </c>
      <c r="H6" s="7" t="s">
        <v>2</v>
      </c>
      <c r="I6" s="12">
        <v>180.68279999999999</v>
      </c>
    </row>
    <row r="7" spans="1:9" x14ac:dyDescent="0.25">
      <c r="B7" s="22" t="s">
        <v>3</v>
      </c>
      <c r="C7" s="12">
        <v>234.6404</v>
      </c>
      <c r="D7" s="12">
        <v>97.529300000000006</v>
      </c>
      <c r="E7" s="12">
        <v>-18.429200000000002</v>
      </c>
      <c r="F7" s="12">
        <v>-38.806100000000001</v>
      </c>
      <c r="H7" s="7" t="s">
        <v>4</v>
      </c>
      <c r="I7" s="12">
        <v>176.30959999999999</v>
      </c>
    </row>
    <row r="8" spans="1:9" x14ac:dyDescent="0.25">
      <c r="B8" s="22" t="s">
        <v>4</v>
      </c>
      <c r="C8" s="12">
        <v>229.4195</v>
      </c>
      <c r="D8" s="12">
        <v>98.418800000000005</v>
      </c>
      <c r="E8" s="12">
        <v>-11.3543</v>
      </c>
      <c r="F8" s="12">
        <v>-31.159500000000001</v>
      </c>
      <c r="H8" s="7" t="s">
        <v>9</v>
      </c>
      <c r="I8" s="12">
        <v>175.9513</v>
      </c>
    </row>
    <row r="9" spans="1:9" x14ac:dyDescent="0.25">
      <c r="B9" s="22" t="s">
        <v>2</v>
      </c>
      <c r="C9" s="12">
        <v>225.50909999999999</v>
      </c>
      <c r="D9" s="12">
        <v>97.611099999999993</v>
      </c>
      <c r="E9" s="12">
        <v>-17.52</v>
      </c>
      <c r="F9" s="12">
        <v>-37.006100000000004</v>
      </c>
      <c r="H9" s="7" t="s">
        <v>35</v>
      </c>
      <c r="I9" s="12">
        <v>171.233</v>
      </c>
    </row>
    <row r="10" spans="1:9" x14ac:dyDescent="0.25">
      <c r="B10" s="22" t="s">
        <v>35</v>
      </c>
      <c r="C10" s="12">
        <v>220.8623</v>
      </c>
      <c r="D10" s="12">
        <v>85.672899999999998</v>
      </c>
      <c r="E10" s="12">
        <v>-29.325299999999999</v>
      </c>
      <c r="F10" s="12">
        <v>-46.381900000000002</v>
      </c>
      <c r="H10" s="7" t="s">
        <v>5</v>
      </c>
      <c r="I10" s="12">
        <v>166.428</v>
      </c>
    </row>
    <row r="11" spans="1:9" x14ac:dyDescent="0.25">
      <c r="B11" s="22" t="s">
        <v>5</v>
      </c>
      <c r="C11" s="12">
        <v>218.82589999999999</v>
      </c>
      <c r="D11" s="12">
        <v>100.0262</v>
      </c>
      <c r="E11" s="12">
        <v>-15.380800000000001</v>
      </c>
      <c r="F11" s="12">
        <v>-32.630299999999998</v>
      </c>
      <c r="H11" s="7" t="s">
        <v>8</v>
      </c>
      <c r="I11" s="12">
        <v>166.3126</v>
      </c>
    </row>
    <row r="12" spans="1:9" x14ac:dyDescent="0.25">
      <c r="B12" s="22" t="s">
        <v>41</v>
      </c>
      <c r="C12" s="12">
        <v>205.8296</v>
      </c>
      <c r="D12" s="12">
        <v>87.168599999999998</v>
      </c>
      <c r="E12" s="12">
        <v>-24.099299999999999</v>
      </c>
      <c r="F12" s="12">
        <v>-37.745699999999999</v>
      </c>
      <c r="H12" s="7" t="s">
        <v>18</v>
      </c>
      <c r="I12" s="12">
        <v>165.82310000000001</v>
      </c>
    </row>
    <row r="13" spans="1:9" x14ac:dyDescent="0.25">
      <c r="B13" s="22" t="s">
        <v>11</v>
      </c>
      <c r="C13" s="12">
        <v>205.13929999999999</v>
      </c>
      <c r="D13" s="12">
        <v>98.178100000000001</v>
      </c>
      <c r="E13" s="12">
        <v>-13.7218</v>
      </c>
      <c r="F13" s="12">
        <v>-24.812999999999999</v>
      </c>
      <c r="H13" s="7" t="s">
        <v>11</v>
      </c>
      <c r="I13" s="12">
        <v>160.83690000000001</v>
      </c>
    </row>
    <row r="14" spans="1:9" x14ac:dyDescent="0.25">
      <c r="B14" s="22" t="s">
        <v>8</v>
      </c>
      <c r="C14" s="12">
        <v>201.5642</v>
      </c>
      <c r="D14" s="12">
        <v>91.835999999999999</v>
      </c>
      <c r="E14" s="12">
        <v>-14.934799999999999</v>
      </c>
      <c r="F14" s="12">
        <v>-30.750499999999999</v>
      </c>
      <c r="H14" s="7" t="s">
        <v>41</v>
      </c>
      <c r="I14" s="12">
        <v>159.2664</v>
      </c>
    </row>
    <row r="15" spans="1:9" x14ac:dyDescent="0.25">
      <c r="B15" s="22" t="s">
        <v>10</v>
      </c>
      <c r="C15" s="12">
        <v>201.19540000000001</v>
      </c>
      <c r="D15" s="12">
        <v>105.7765</v>
      </c>
      <c r="E15" s="12">
        <v>-6.5740999999999996</v>
      </c>
      <c r="F15" s="12">
        <v>-14.9695</v>
      </c>
      <c r="H15" s="7" t="s">
        <v>33</v>
      </c>
      <c r="I15" s="12">
        <v>157.8192</v>
      </c>
    </row>
    <row r="16" spans="1:9" x14ac:dyDescent="0.25">
      <c r="B16" s="22" t="s">
        <v>13</v>
      </c>
      <c r="C16" s="12">
        <v>196.9213</v>
      </c>
      <c r="D16" s="12">
        <v>77.351799999999997</v>
      </c>
      <c r="E16" s="12">
        <v>-20.284700000000001</v>
      </c>
      <c r="F16" s="12">
        <v>-38.348399999999998</v>
      </c>
      <c r="H16" s="7" t="s">
        <v>13</v>
      </c>
      <c r="I16" s="12">
        <v>155.7962</v>
      </c>
    </row>
    <row r="17" spans="2:9" x14ac:dyDescent="0.25">
      <c r="B17" s="22" t="s">
        <v>33</v>
      </c>
      <c r="C17" s="12">
        <v>193.98400000000001</v>
      </c>
      <c r="D17" s="12">
        <v>93.544600000000003</v>
      </c>
      <c r="E17" s="12">
        <v>-12.474600000000001</v>
      </c>
      <c r="F17" s="12">
        <v>-25.944299999999998</v>
      </c>
      <c r="H17" s="7" t="s">
        <v>12</v>
      </c>
      <c r="I17" s="12">
        <v>144.08090000000001</v>
      </c>
    </row>
    <row r="18" spans="2:9" x14ac:dyDescent="0.25">
      <c r="B18" s="22" t="s">
        <v>12</v>
      </c>
      <c r="C18" s="12">
        <v>185.768</v>
      </c>
      <c r="D18" s="12">
        <v>97.118799999999993</v>
      </c>
      <c r="E18" s="12">
        <v>-12.7844</v>
      </c>
      <c r="F18" s="12">
        <v>-22.222000000000001</v>
      </c>
      <c r="H18" s="7" t="s">
        <v>10</v>
      </c>
      <c r="I18" s="12">
        <v>134.09350000000001</v>
      </c>
    </row>
    <row r="19" spans="2:9" x14ac:dyDescent="0.25">
      <c r="B19" s="22" t="s">
        <v>24</v>
      </c>
      <c r="C19" s="12">
        <v>168.4314</v>
      </c>
      <c r="D19" s="12">
        <v>75.108099999999993</v>
      </c>
      <c r="E19" s="12">
        <v>-1.3697999999999999</v>
      </c>
      <c r="F19" s="12">
        <v>-16.434699999999999</v>
      </c>
      <c r="H19" s="7" t="s">
        <v>21</v>
      </c>
      <c r="I19" s="12">
        <v>118.3719</v>
      </c>
    </row>
    <row r="20" spans="2:9" x14ac:dyDescent="0.25">
      <c r="B20" s="22" t="s">
        <v>21</v>
      </c>
      <c r="C20" s="12">
        <v>166.94540000000001</v>
      </c>
      <c r="D20" s="12">
        <v>79.679400000000001</v>
      </c>
      <c r="E20" s="12">
        <v>-24.184999999999999</v>
      </c>
      <c r="F20" s="12">
        <v>-33.129899999999999</v>
      </c>
      <c r="H20" s="7" t="s">
        <v>24</v>
      </c>
      <c r="I20" s="12">
        <v>115.5856</v>
      </c>
    </row>
  </sheetData>
  <mergeCells count="2">
    <mergeCell ref="H1:I1"/>
    <mergeCell ref="E1:F1"/>
  </mergeCells>
  <conditionalFormatting sqref="E2:E20">
    <cfRule type="cellIs" dxfId="75" priority="1" operator="between">
      <formula>-30</formula>
      <formula>-20</formula>
    </cfRule>
    <cfRule type="cellIs" dxfId="74" priority="2" operator="between">
      <formula>-40</formula>
      <formula>-30</formula>
    </cfRule>
    <cfRule type="cellIs" dxfId="73" priority="3" operator="lessThanOrEqual">
      <formula>-40</formula>
    </cfRule>
  </conditionalFormatting>
  <conditionalFormatting sqref="F2:F20">
    <cfRule type="cellIs" dxfId="72" priority="4" operator="between">
      <formula>-40</formula>
      <formula>-30</formula>
    </cfRule>
    <cfRule type="cellIs" dxfId="71" priority="5" operator="between">
      <formula>-60</formula>
      <formula>-40</formula>
    </cfRule>
    <cfRule type="cellIs" dxfId="70" priority="6" operator="lessThanOrEqual">
      <formula>-60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B6DC3-D312-44F7-963F-18997EB981EE}">
  <dimension ref="A1:AF50"/>
  <sheetViews>
    <sheetView workbookViewId="0">
      <selection activeCell="I10" sqref="I10"/>
    </sheetView>
  </sheetViews>
  <sheetFormatPr defaultRowHeight="13.2" x14ac:dyDescent="0.25"/>
  <cols>
    <col min="1" max="1" width="20.33203125" customWidth="1"/>
    <col min="2" max="2" width="22.109375" style="2" customWidth="1"/>
    <col min="4" max="4" width="19.21875" customWidth="1"/>
    <col min="5" max="6" width="13.5546875" style="2" customWidth="1"/>
    <col min="7" max="7" width="7.88671875" customWidth="1"/>
    <col min="8" max="8" width="14.33203125" customWidth="1"/>
    <col min="10" max="10" width="11.109375" customWidth="1"/>
    <col min="21" max="21" width="11.77734375" customWidth="1"/>
    <col min="26" max="26" width="11.6640625" customWidth="1"/>
  </cols>
  <sheetData>
    <row r="1" spans="1:32" x14ac:dyDescent="0.25">
      <c r="B1" s="3"/>
      <c r="E1" s="3"/>
      <c r="F1" s="3"/>
    </row>
    <row r="2" spans="1:32" s="1" customFormat="1" ht="52.8" x14ac:dyDescent="0.25">
      <c r="A2" s="8" t="s">
        <v>0</v>
      </c>
      <c r="B2" s="9" t="s">
        <v>1</v>
      </c>
      <c r="C2" s="8"/>
      <c r="D2" s="8" t="s">
        <v>0</v>
      </c>
      <c r="E2" s="10" t="s">
        <v>19</v>
      </c>
      <c r="F2" s="10" t="s">
        <v>20</v>
      </c>
      <c r="J2" s="8" t="s">
        <v>0</v>
      </c>
      <c r="K2" s="10" t="s">
        <v>19</v>
      </c>
      <c r="L2" s="10" t="s">
        <v>20</v>
      </c>
      <c r="N2" s="11" t="s">
        <v>17</v>
      </c>
      <c r="O2" s="13" t="s">
        <v>28</v>
      </c>
      <c r="P2" s="13" t="s">
        <v>16</v>
      </c>
      <c r="Q2" s="20" t="s">
        <v>23</v>
      </c>
      <c r="R2" s="20"/>
      <c r="U2" s="11" t="s">
        <v>17</v>
      </c>
      <c r="Z2" s="1" t="s">
        <v>30</v>
      </c>
      <c r="AA2" s="1" t="s">
        <v>31</v>
      </c>
      <c r="AB2" s="1" t="s">
        <v>32</v>
      </c>
      <c r="AD2" s="1" t="s">
        <v>30</v>
      </c>
      <c r="AE2" s="1" t="s">
        <v>31</v>
      </c>
      <c r="AF2" s="1" t="s">
        <v>32</v>
      </c>
    </row>
    <row r="3" spans="1:32" x14ac:dyDescent="0.25">
      <c r="A3" t="s">
        <v>5</v>
      </c>
      <c r="B3" s="3">
        <v>7.2999999999999995E-2</v>
      </c>
      <c r="D3" t="s">
        <v>44</v>
      </c>
      <c r="E3" s="14">
        <v>1.1915</v>
      </c>
      <c r="F3" s="14">
        <v>1.1613</v>
      </c>
      <c r="J3" t="s">
        <v>25</v>
      </c>
      <c r="K3" s="14">
        <v>1.0843</v>
      </c>
      <c r="L3" s="14">
        <v>1.5449000000000002</v>
      </c>
      <c r="N3" t="s">
        <v>25</v>
      </c>
      <c r="O3" s="12">
        <v>233.0532</v>
      </c>
      <c r="P3" s="12">
        <v>82.703800000000001</v>
      </c>
      <c r="Q3" s="12">
        <v>-20.909600000000001</v>
      </c>
      <c r="R3" s="12">
        <v>-58.257300000000001</v>
      </c>
      <c r="U3" t="s">
        <v>25</v>
      </c>
      <c r="V3">
        <f t="shared" ref="V3:V21" si="0">K3*(-(R3))</f>
        <v>63.168390390000006</v>
      </c>
      <c r="W3">
        <f>K3*((-(Q3))*(-(R3))/2)</f>
        <v>660.41288784937217</v>
      </c>
      <c r="Z3" t="s">
        <v>25</v>
      </c>
      <c r="AA3">
        <v>63.168390390000006</v>
      </c>
      <c r="AB3">
        <v>1320.8257756987441</v>
      </c>
      <c r="AD3" t="s">
        <v>9</v>
      </c>
      <c r="AE3">
        <v>44.753745899999998</v>
      </c>
      <c r="AF3">
        <v>1531.6521996815998</v>
      </c>
    </row>
    <row r="4" spans="1:32" x14ac:dyDescent="0.25">
      <c r="A4" t="s">
        <v>2</v>
      </c>
      <c r="B4" s="3">
        <v>6.8000000000000005E-2</v>
      </c>
      <c r="D4" t="s">
        <v>21</v>
      </c>
      <c r="E4" s="14">
        <v>1.1375999999999999</v>
      </c>
      <c r="F4" s="14">
        <v>1.0703</v>
      </c>
      <c r="J4" t="s">
        <v>12</v>
      </c>
      <c r="K4" s="14">
        <v>1.1177999999999999</v>
      </c>
      <c r="L4" s="14">
        <v>1.1008</v>
      </c>
      <c r="N4" t="s">
        <v>12</v>
      </c>
      <c r="O4" s="12">
        <v>202.90360000000001</v>
      </c>
      <c r="P4" s="12">
        <v>94.757400000000004</v>
      </c>
      <c r="Q4" s="12">
        <v>-17.5931</v>
      </c>
      <c r="R4" s="12">
        <v>-32.6556</v>
      </c>
      <c r="U4" t="s">
        <v>10</v>
      </c>
      <c r="V4">
        <f t="shared" si="0"/>
        <v>36.502429679999999</v>
      </c>
      <c r="W4">
        <f t="shared" ref="W4:W21" si="1">K4*((-(Q4))*(-(R4))/2)</f>
        <v>321.09544780160394</v>
      </c>
      <c r="Z4" t="s">
        <v>2</v>
      </c>
      <c r="AA4">
        <v>57.528658</v>
      </c>
      <c r="AB4">
        <v>1400.7767993736002</v>
      </c>
      <c r="AD4" t="s">
        <v>2</v>
      </c>
      <c r="AE4">
        <v>57.528658</v>
      </c>
      <c r="AF4">
        <v>1400.7767993736002</v>
      </c>
    </row>
    <row r="5" spans="1:32" x14ac:dyDescent="0.25">
      <c r="A5" t="s">
        <v>6</v>
      </c>
      <c r="B5" s="3">
        <v>6.7000000000000004E-2</v>
      </c>
      <c r="D5" t="s">
        <v>5</v>
      </c>
      <c r="E5" s="14">
        <v>1.0992</v>
      </c>
      <c r="F5" s="14">
        <v>1.1091</v>
      </c>
      <c r="J5" t="s">
        <v>5</v>
      </c>
      <c r="K5" s="14">
        <v>0.9043000000000001</v>
      </c>
      <c r="L5" s="14">
        <v>0.90339999999999998</v>
      </c>
      <c r="N5" t="s">
        <v>5</v>
      </c>
      <c r="O5" s="12">
        <v>208.52029999999999</v>
      </c>
      <c r="P5" s="12">
        <v>101.45399999999999</v>
      </c>
      <c r="Q5" s="12">
        <v>-18.723299999999998</v>
      </c>
      <c r="R5" s="12">
        <v>-32.253999999999998</v>
      </c>
      <c r="U5" t="s">
        <v>13</v>
      </c>
      <c r="V5">
        <f t="shared" si="0"/>
        <v>29.167292200000002</v>
      </c>
      <c r="W5">
        <f t="shared" si="1"/>
        <v>273.05398102413</v>
      </c>
      <c r="Z5" t="s">
        <v>7</v>
      </c>
      <c r="AA5">
        <v>51.87232353000001</v>
      </c>
      <c r="AB5">
        <v>776.69986191174917</v>
      </c>
      <c r="AD5" t="s">
        <v>25</v>
      </c>
      <c r="AE5">
        <v>63.168390390000006</v>
      </c>
      <c r="AF5">
        <v>1320.8257756987441</v>
      </c>
    </row>
    <row r="6" spans="1:32" x14ac:dyDescent="0.25">
      <c r="A6" t="s">
        <v>18</v>
      </c>
      <c r="B6" s="3">
        <v>6.5000000000000002E-2</v>
      </c>
      <c r="D6" t="s">
        <v>18</v>
      </c>
      <c r="E6" s="14">
        <v>1.0972</v>
      </c>
      <c r="F6" s="14">
        <v>1.0398000000000001</v>
      </c>
      <c r="J6" t="s">
        <v>7</v>
      </c>
      <c r="K6" s="14">
        <v>1.0865</v>
      </c>
      <c r="L6" s="14">
        <v>1.0737999999999999</v>
      </c>
      <c r="N6" t="s">
        <v>7</v>
      </c>
      <c r="O6" s="12">
        <v>221.31450000000001</v>
      </c>
      <c r="P6" s="12">
        <v>98.600499999999997</v>
      </c>
      <c r="Q6" s="12">
        <v>-22.254000000000001</v>
      </c>
      <c r="R6" s="12">
        <v>-39.016100000000002</v>
      </c>
      <c r="U6" t="s">
        <v>5</v>
      </c>
      <c r="V6">
        <f t="shared" si="0"/>
        <v>42.390992650000001</v>
      </c>
      <c r="W6">
        <f t="shared" si="1"/>
        <v>471.68457521655006</v>
      </c>
      <c r="Z6" t="s">
        <v>26</v>
      </c>
      <c r="AA6">
        <v>48.443163800000001</v>
      </c>
      <c r="AB6">
        <v>1016.64276845594</v>
      </c>
      <c r="AD6" t="s">
        <v>3</v>
      </c>
      <c r="AE6">
        <v>43.180367679999989</v>
      </c>
      <c r="AF6">
        <v>1119.6626159056318</v>
      </c>
    </row>
    <row r="7" spans="1:32" x14ac:dyDescent="0.25">
      <c r="A7" t="s">
        <v>3</v>
      </c>
      <c r="B7" s="3">
        <v>6.4000000000000001E-2</v>
      </c>
      <c r="D7" t="s">
        <v>33</v>
      </c>
      <c r="E7" s="14">
        <v>1.0852999999999999</v>
      </c>
      <c r="F7" s="14">
        <v>1.0415000000000001</v>
      </c>
      <c r="J7" t="s">
        <v>27</v>
      </c>
      <c r="K7" s="14">
        <v>0.78170000000000006</v>
      </c>
      <c r="L7" s="14">
        <v>0.75</v>
      </c>
      <c r="N7" t="s">
        <v>27</v>
      </c>
      <c r="O7" s="12">
        <v>142.12289999999999</v>
      </c>
      <c r="P7" s="12">
        <v>57.335500000000003</v>
      </c>
      <c r="Q7" s="12">
        <v>-10.2508</v>
      </c>
      <c r="R7" s="12">
        <v>-27.150200000000002</v>
      </c>
      <c r="U7" t="s">
        <v>29</v>
      </c>
      <c r="V7">
        <f t="shared" si="0"/>
        <v>21.223311340000002</v>
      </c>
      <c r="W7">
        <f t="shared" si="1"/>
        <v>108.77795994203601</v>
      </c>
      <c r="Z7" t="s">
        <v>9</v>
      </c>
      <c r="AA7">
        <v>44.753745899999998</v>
      </c>
      <c r="AB7">
        <v>1531.6521996815998</v>
      </c>
      <c r="AD7" t="s">
        <v>26</v>
      </c>
      <c r="AE7">
        <v>48.443163800000001</v>
      </c>
      <c r="AF7">
        <v>1016.64276845594</v>
      </c>
    </row>
    <row r="8" spans="1:32" x14ac:dyDescent="0.25">
      <c r="A8" t="s">
        <v>33</v>
      </c>
      <c r="B8" s="3">
        <v>0.06</v>
      </c>
      <c r="D8" t="s">
        <v>41</v>
      </c>
      <c r="E8" s="14">
        <v>1.0826</v>
      </c>
      <c r="F8" s="14">
        <v>1.0851999999999999</v>
      </c>
      <c r="J8" t="s">
        <v>10</v>
      </c>
      <c r="K8" s="14">
        <v>1.0746</v>
      </c>
      <c r="L8" s="14">
        <v>1.0075000000000001</v>
      </c>
      <c r="N8" t="s">
        <v>10</v>
      </c>
      <c r="O8" s="12">
        <v>240.16159999999999</v>
      </c>
      <c r="P8" s="12">
        <v>107.3518</v>
      </c>
      <c r="Q8" s="12">
        <v>-20.414999999999999</v>
      </c>
      <c r="R8" s="12">
        <v>-37.596899999999998</v>
      </c>
      <c r="U8" t="s">
        <v>6</v>
      </c>
      <c r="V8">
        <f t="shared" si="0"/>
        <v>40.40162874</v>
      </c>
      <c r="W8">
        <f t="shared" si="1"/>
        <v>412.39962536354994</v>
      </c>
      <c r="Z8" t="s">
        <v>3</v>
      </c>
      <c r="AA8">
        <v>43.180367679999989</v>
      </c>
      <c r="AB8">
        <v>1119.6626159056318</v>
      </c>
      <c r="AD8" t="s">
        <v>5</v>
      </c>
      <c r="AE8">
        <v>42.390992650000001</v>
      </c>
      <c r="AF8">
        <v>943.36915043310012</v>
      </c>
    </row>
    <row r="9" spans="1:32" x14ac:dyDescent="0.25">
      <c r="A9" t="s">
        <v>11</v>
      </c>
      <c r="B9" s="3">
        <v>5.7999999999999996E-2</v>
      </c>
      <c r="D9" t="s">
        <v>12</v>
      </c>
      <c r="E9" s="14">
        <v>1.0652999999999999</v>
      </c>
      <c r="F9" s="14">
        <v>1.0526</v>
      </c>
      <c r="J9" t="s">
        <v>13</v>
      </c>
      <c r="K9" s="14">
        <v>0.58860000000000001</v>
      </c>
      <c r="L9" s="14">
        <v>0.57320000000000004</v>
      </c>
      <c r="N9" t="s">
        <v>13</v>
      </c>
      <c r="O9" s="12">
        <v>159.52379999999999</v>
      </c>
      <c r="P9" s="12">
        <v>81.895700000000005</v>
      </c>
      <c r="Q9" s="12">
        <v>-20.362400000000001</v>
      </c>
      <c r="R9" s="12">
        <v>-25.824200000000001</v>
      </c>
      <c r="U9" t="s">
        <v>8</v>
      </c>
      <c r="V9">
        <f t="shared" si="0"/>
        <v>15.200124120000002</v>
      </c>
      <c r="W9">
        <f t="shared" si="1"/>
        <v>154.755503690544</v>
      </c>
      <c r="Z9" t="s">
        <v>5</v>
      </c>
      <c r="AA9">
        <v>42.390992650000001</v>
      </c>
      <c r="AB9">
        <v>943.36915043310012</v>
      </c>
      <c r="AD9" t="s">
        <v>6</v>
      </c>
      <c r="AE9">
        <v>40.40162874</v>
      </c>
      <c r="AF9">
        <v>824.79925072709989</v>
      </c>
    </row>
    <row r="10" spans="1:32" x14ac:dyDescent="0.25">
      <c r="A10" t="s">
        <v>10</v>
      </c>
      <c r="B10" s="3">
        <v>5.7000000000000002E-2</v>
      </c>
      <c r="D10" t="s">
        <v>9</v>
      </c>
      <c r="E10" s="14">
        <v>1.0465</v>
      </c>
      <c r="F10" s="14">
        <v>1.0569999999999999</v>
      </c>
      <c r="J10" t="s">
        <v>21</v>
      </c>
      <c r="K10" s="14">
        <v>1.1274999999999999</v>
      </c>
      <c r="L10" s="14">
        <v>1.1340999999999999</v>
      </c>
      <c r="N10" t="s">
        <v>21</v>
      </c>
      <c r="O10" s="12">
        <v>207.3502</v>
      </c>
      <c r="P10" s="12">
        <v>72.156400000000005</v>
      </c>
      <c r="Q10" s="12">
        <v>-24.3492</v>
      </c>
      <c r="R10" s="12">
        <v>-51.023200000000003</v>
      </c>
      <c r="U10" t="s">
        <v>2</v>
      </c>
      <c r="V10">
        <f t="shared" si="0"/>
        <v>57.528658</v>
      </c>
      <c r="W10">
        <f t="shared" si="1"/>
        <v>700.38839968679997</v>
      </c>
      <c r="Z10" t="s">
        <v>6</v>
      </c>
      <c r="AA10">
        <v>40.40162874</v>
      </c>
      <c r="AB10">
        <v>824.79925072709989</v>
      </c>
      <c r="AD10" t="s">
        <v>27</v>
      </c>
      <c r="AE10">
        <v>31.586248799999996</v>
      </c>
      <c r="AF10">
        <v>803.37096922895989</v>
      </c>
    </row>
    <row r="11" spans="1:32" x14ac:dyDescent="0.25">
      <c r="A11" t="s">
        <v>9</v>
      </c>
      <c r="B11" s="3">
        <v>5.5E-2</v>
      </c>
      <c r="D11" t="s">
        <v>4</v>
      </c>
      <c r="E11" s="14">
        <v>1.0421</v>
      </c>
      <c r="F11" s="14">
        <v>1.0204</v>
      </c>
      <c r="J11" t="s">
        <v>11</v>
      </c>
      <c r="K11" s="14">
        <v>1.2465999999999999</v>
      </c>
      <c r="L11" s="14">
        <v>1.1982999999999999</v>
      </c>
      <c r="N11" t="s">
        <v>11</v>
      </c>
      <c r="O11" s="12">
        <v>189.41200000000001</v>
      </c>
      <c r="P11" s="12">
        <v>94.838499999999996</v>
      </c>
      <c r="Q11" s="12">
        <v>-15.1831</v>
      </c>
      <c r="R11" s="12">
        <v>-27.46</v>
      </c>
      <c r="U11" t="s">
        <v>21</v>
      </c>
      <c r="V11">
        <f t="shared" si="0"/>
        <v>34.231636000000002</v>
      </c>
      <c r="W11">
        <f t="shared" si="1"/>
        <v>259.8711762758</v>
      </c>
      <c r="Z11" t="s">
        <v>10</v>
      </c>
      <c r="AA11">
        <v>36.502429679999999</v>
      </c>
      <c r="AB11">
        <v>642.19089560320788</v>
      </c>
      <c r="AD11" t="s">
        <v>7</v>
      </c>
      <c r="AE11">
        <v>51.87232353000001</v>
      </c>
      <c r="AF11">
        <v>776.69986191174917</v>
      </c>
    </row>
    <row r="12" spans="1:32" x14ac:dyDescent="0.25">
      <c r="A12" t="s">
        <v>8</v>
      </c>
      <c r="B12" s="3">
        <v>5.2999999999999999E-2</v>
      </c>
      <c r="D12" t="s">
        <v>3</v>
      </c>
      <c r="E12" s="14">
        <v>1.0325</v>
      </c>
      <c r="F12" s="14">
        <v>0.97900000000000009</v>
      </c>
      <c r="J12" t="s">
        <v>24</v>
      </c>
      <c r="K12" s="14">
        <v>0.66099999999999992</v>
      </c>
      <c r="L12" s="14">
        <v>0.66680000000000006</v>
      </c>
      <c r="N12" t="s">
        <v>24</v>
      </c>
      <c r="O12" s="12">
        <v>167.67490000000001</v>
      </c>
      <c r="P12" s="12">
        <v>74.382199999999997</v>
      </c>
      <c r="Q12" s="12">
        <v>-10.8965</v>
      </c>
      <c r="R12" s="12">
        <v>-28.836300000000001</v>
      </c>
      <c r="U12" t="s">
        <v>12</v>
      </c>
      <c r="V12">
        <f t="shared" si="0"/>
        <v>19.060794299999998</v>
      </c>
      <c r="W12">
        <f t="shared" si="1"/>
        <v>103.84797254497499</v>
      </c>
      <c r="Z12" t="s">
        <v>21</v>
      </c>
      <c r="AA12">
        <v>34.231636000000002</v>
      </c>
      <c r="AB12">
        <v>519.74235255159999</v>
      </c>
      <c r="AD12" t="s">
        <v>10</v>
      </c>
      <c r="AE12">
        <v>36.502429679999999</v>
      </c>
      <c r="AF12">
        <v>642.19089560320788</v>
      </c>
    </row>
    <row r="13" spans="1:32" x14ac:dyDescent="0.25">
      <c r="A13" t="s">
        <v>4</v>
      </c>
      <c r="B13" s="3">
        <v>5.2999999999999999E-2</v>
      </c>
      <c r="D13" t="s">
        <v>10</v>
      </c>
      <c r="E13" s="14">
        <v>1.0286999999999999</v>
      </c>
      <c r="F13" s="14">
        <v>1.0077</v>
      </c>
      <c r="J13" t="s">
        <v>2</v>
      </c>
      <c r="K13" s="14">
        <v>1.0615999999999999</v>
      </c>
      <c r="L13" s="14">
        <v>1.1106</v>
      </c>
      <c r="N13" t="s">
        <v>2</v>
      </c>
      <c r="O13" s="12">
        <v>211.7251</v>
      </c>
      <c r="P13" s="12">
        <v>94.972999999999999</v>
      </c>
      <c r="Q13" s="12">
        <v>-25.9299</v>
      </c>
      <c r="R13" s="12">
        <v>-40.674799999999998</v>
      </c>
      <c r="U13" t="s">
        <v>3</v>
      </c>
      <c r="V13">
        <f t="shared" si="0"/>
        <v>43.180367679999989</v>
      </c>
      <c r="W13">
        <f t="shared" si="1"/>
        <v>559.83130795281579</v>
      </c>
      <c r="Z13" t="s">
        <v>4</v>
      </c>
      <c r="AA13">
        <v>32.689354549999997</v>
      </c>
      <c r="AB13">
        <v>622.22551918197507</v>
      </c>
      <c r="AD13" t="s">
        <v>4</v>
      </c>
      <c r="AE13">
        <v>32.689354549999997</v>
      </c>
      <c r="AF13">
        <v>622.22551918197507</v>
      </c>
    </row>
    <row r="14" spans="1:32" x14ac:dyDescent="0.25">
      <c r="A14" t="s">
        <v>43</v>
      </c>
      <c r="B14" s="3">
        <v>5.2000000000000005E-2</v>
      </c>
      <c r="D14" t="s">
        <v>6</v>
      </c>
      <c r="E14" s="14">
        <v>1.0243</v>
      </c>
      <c r="F14" s="14">
        <v>1.0039</v>
      </c>
      <c r="J14" t="s">
        <v>6</v>
      </c>
      <c r="K14" s="14">
        <v>0.98650000000000004</v>
      </c>
      <c r="L14" s="14">
        <v>0.98540000000000005</v>
      </c>
      <c r="N14" t="s">
        <v>6</v>
      </c>
      <c r="O14" s="12">
        <v>224.04150000000001</v>
      </c>
      <c r="P14" s="12">
        <v>103.9102</v>
      </c>
      <c r="Q14" s="12">
        <v>-19.034500000000001</v>
      </c>
      <c r="R14" s="12">
        <v>-33.136699999999998</v>
      </c>
      <c r="U14" t="s">
        <v>4</v>
      </c>
      <c r="V14">
        <f t="shared" si="0"/>
        <v>32.689354549999997</v>
      </c>
      <c r="W14">
        <f t="shared" si="1"/>
        <v>311.11275959098748</v>
      </c>
      <c r="Z14" t="s">
        <v>27</v>
      </c>
      <c r="AA14">
        <v>31.586248799999996</v>
      </c>
      <c r="AB14">
        <v>803.37096922895989</v>
      </c>
      <c r="AD14" t="s">
        <v>13</v>
      </c>
      <c r="AE14">
        <v>29.167292200000002</v>
      </c>
      <c r="AF14">
        <v>546.10796204825999</v>
      </c>
    </row>
    <row r="15" spans="1:32" x14ac:dyDescent="0.25">
      <c r="A15" t="s">
        <v>35</v>
      </c>
      <c r="B15" s="3">
        <v>5.0999999999999997E-2</v>
      </c>
      <c r="D15" t="s">
        <v>34</v>
      </c>
      <c r="E15" s="14">
        <v>0.99309999999999998</v>
      </c>
      <c r="F15" s="14">
        <v>1.0084</v>
      </c>
      <c r="J15" t="s">
        <v>8</v>
      </c>
      <c r="K15" s="14">
        <v>1.1818</v>
      </c>
      <c r="L15" s="14">
        <v>1.2370999999999999</v>
      </c>
      <c r="N15" t="s">
        <v>8</v>
      </c>
      <c r="O15" s="12">
        <v>210.39340000000001</v>
      </c>
      <c r="P15" s="12">
        <v>92.510800000000003</v>
      </c>
      <c r="Q15" s="12">
        <v>-20.9863</v>
      </c>
      <c r="R15" s="12">
        <v>-40.991</v>
      </c>
      <c r="U15" t="s">
        <v>26</v>
      </c>
      <c r="V15">
        <f t="shared" si="0"/>
        <v>48.443163800000001</v>
      </c>
      <c r="W15">
        <f t="shared" si="1"/>
        <v>508.32138422796999</v>
      </c>
      <c r="Z15" t="s">
        <v>13</v>
      </c>
      <c r="AA15">
        <v>29.167292200000002</v>
      </c>
      <c r="AB15">
        <v>546.10796204825999</v>
      </c>
      <c r="AD15" t="s">
        <v>21</v>
      </c>
      <c r="AE15">
        <v>34.231636000000002</v>
      </c>
      <c r="AF15">
        <v>519.74235255159999</v>
      </c>
    </row>
    <row r="16" spans="1:32" x14ac:dyDescent="0.25">
      <c r="A16" t="s">
        <v>34</v>
      </c>
      <c r="B16" s="3">
        <v>0.05</v>
      </c>
      <c r="D16" t="s">
        <v>11</v>
      </c>
      <c r="E16" s="14">
        <v>0.99280000000000002</v>
      </c>
      <c r="F16" s="14">
        <v>0.99309999999999998</v>
      </c>
      <c r="J16" t="s">
        <v>3</v>
      </c>
      <c r="K16" s="14">
        <v>0.88800000000000001</v>
      </c>
      <c r="L16" s="14">
        <v>0.9645999999999999</v>
      </c>
      <c r="N16" t="s">
        <v>3</v>
      </c>
      <c r="O16" s="12">
        <v>203.5121</v>
      </c>
      <c r="P16" s="12">
        <v>98.546000000000006</v>
      </c>
      <c r="Q16" s="12">
        <v>-25.434200000000001</v>
      </c>
      <c r="R16" s="12">
        <v>-35.570099999999996</v>
      </c>
      <c r="U16" t="s">
        <v>27</v>
      </c>
      <c r="V16">
        <f t="shared" si="0"/>
        <v>31.586248799999996</v>
      </c>
      <c r="W16">
        <f t="shared" si="1"/>
        <v>401.68548461447995</v>
      </c>
      <c r="Z16" t="s">
        <v>18</v>
      </c>
      <c r="AA16">
        <v>25.524206409999998</v>
      </c>
      <c r="AB16">
        <v>395.87278415717697</v>
      </c>
      <c r="AD16" t="s">
        <v>18</v>
      </c>
      <c r="AE16">
        <v>25.524206409999998</v>
      </c>
      <c r="AF16">
        <v>395.87278415717697</v>
      </c>
    </row>
    <row r="17" spans="1:32" x14ac:dyDescent="0.25">
      <c r="A17" t="s">
        <v>12</v>
      </c>
      <c r="B17" s="3">
        <v>4.4000000000000004E-2</v>
      </c>
      <c r="D17" t="s">
        <v>43</v>
      </c>
      <c r="E17" s="14">
        <v>0.98620000000000008</v>
      </c>
      <c r="F17" s="14">
        <v>0.9819</v>
      </c>
      <c r="J17" t="s">
        <v>4</v>
      </c>
      <c r="K17" s="14">
        <v>0.98329999999999995</v>
      </c>
      <c r="L17" s="14">
        <v>0.97239999999999993</v>
      </c>
      <c r="N17" t="s">
        <v>4</v>
      </c>
      <c r="O17" s="12">
        <v>185.5958</v>
      </c>
      <c r="P17" s="12">
        <v>99.421800000000005</v>
      </c>
      <c r="Q17" s="12">
        <v>-15.5097</v>
      </c>
      <c r="R17" s="12">
        <v>-25.957699999999999</v>
      </c>
      <c r="U17" t="s">
        <v>18</v>
      </c>
      <c r="V17">
        <f t="shared" si="0"/>
        <v>25.524206409999998</v>
      </c>
      <c r="W17">
        <f t="shared" si="1"/>
        <v>197.93639207858848</v>
      </c>
      <c r="Z17" t="s">
        <v>29</v>
      </c>
      <c r="AA17">
        <v>21.223311340000002</v>
      </c>
      <c r="AB17">
        <v>217.55591988407204</v>
      </c>
      <c r="AD17" t="s">
        <v>8</v>
      </c>
      <c r="AE17">
        <v>15.200124120000002</v>
      </c>
      <c r="AF17">
        <v>309.51100738108806</v>
      </c>
    </row>
    <row r="18" spans="1:32" x14ac:dyDescent="0.25">
      <c r="A18" t="s">
        <v>21</v>
      </c>
      <c r="B18" s="3">
        <v>4.2999999999999997E-2</v>
      </c>
      <c r="D18" t="s">
        <v>13</v>
      </c>
      <c r="E18" s="14">
        <v>0.9788</v>
      </c>
      <c r="F18" s="14">
        <v>0.99639999999999995</v>
      </c>
      <c r="J18" t="s">
        <v>9</v>
      </c>
      <c r="K18" s="14">
        <v>0.91409999999999991</v>
      </c>
      <c r="L18" s="14">
        <v>0.97099999999999997</v>
      </c>
      <c r="N18" t="s">
        <v>9</v>
      </c>
      <c r="O18" s="12">
        <v>185.27959999999999</v>
      </c>
      <c r="P18" s="12">
        <v>103.9067</v>
      </c>
      <c r="Q18" s="12">
        <v>-12.5025</v>
      </c>
      <c r="R18" s="12">
        <v>-20.688300000000002</v>
      </c>
      <c r="U18" t="s">
        <v>11</v>
      </c>
      <c r="V18">
        <f t="shared" si="0"/>
        <v>18.911175029999999</v>
      </c>
      <c r="W18">
        <f t="shared" si="1"/>
        <v>118.21848290628749</v>
      </c>
      <c r="Z18" t="s">
        <v>12</v>
      </c>
      <c r="AA18">
        <v>19.060794299999998</v>
      </c>
      <c r="AB18">
        <v>207.69594508994999</v>
      </c>
      <c r="AD18" t="s">
        <v>11</v>
      </c>
      <c r="AE18">
        <v>18.911175029999999</v>
      </c>
      <c r="AF18">
        <v>236.43696581257498</v>
      </c>
    </row>
    <row r="19" spans="1:32" x14ac:dyDescent="0.25">
      <c r="A19" t="s">
        <v>41</v>
      </c>
      <c r="B19" s="3">
        <v>4.2999999999999997E-2</v>
      </c>
      <c r="D19" t="s">
        <v>2</v>
      </c>
      <c r="E19" s="14">
        <v>0.96989999999999998</v>
      </c>
      <c r="F19" s="14">
        <v>0.99639999999999995</v>
      </c>
      <c r="J19" t="s">
        <v>29</v>
      </c>
      <c r="K19" s="14">
        <v>1</v>
      </c>
      <c r="L19" s="14">
        <v>1</v>
      </c>
      <c r="N19" t="s">
        <v>29</v>
      </c>
      <c r="O19" s="12">
        <v>133.49709999999999</v>
      </c>
      <c r="P19" s="12">
        <v>64.091499999999996</v>
      </c>
      <c r="Q19" s="12">
        <v>2.1634000000000002</v>
      </c>
      <c r="R19" s="12">
        <v>-13.7409</v>
      </c>
      <c r="U19" t="s">
        <v>24</v>
      </c>
      <c r="V19">
        <f t="shared" si="0"/>
        <v>13.7409</v>
      </c>
      <c r="W19">
        <f>K19*((-(Q19))*(-(R19))/2)</f>
        <v>-14.863531530000001</v>
      </c>
      <c r="Z19" t="s">
        <v>11</v>
      </c>
      <c r="AA19">
        <v>18.911175029999999</v>
      </c>
      <c r="AB19">
        <v>236.43696581257498</v>
      </c>
      <c r="AD19" t="s">
        <v>29</v>
      </c>
      <c r="AE19">
        <v>21.223311340000002</v>
      </c>
      <c r="AF19">
        <v>217.55591988407204</v>
      </c>
    </row>
    <row r="20" spans="1:32" x14ac:dyDescent="0.25">
      <c r="A20" t="s">
        <v>13</v>
      </c>
      <c r="B20" s="3">
        <v>3.7000000000000005E-2</v>
      </c>
      <c r="D20" t="s">
        <v>35</v>
      </c>
      <c r="E20" s="14">
        <v>0.94340000000000002</v>
      </c>
      <c r="F20" s="14">
        <v>0.84489999999999998</v>
      </c>
      <c r="J20" t="s">
        <v>26</v>
      </c>
      <c r="K20" s="14">
        <v>1.1729000000000001</v>
      </c>
      <c r="L20" s="14">
        <v>1.1996</v>
      </c>
      <c r="N20" t="s">
        <v>26</v>
      </c>
      <c r="O20" s="12">
        <v>222.71010000000001</v>
      </c>
      <c r="P20" s="12">
        <v>83.021799999999999</v>
      </c>
      <c r="Q20" s="12">
        <v>-14.9733</v>
      </c>
      <c r="R20" s="12">
        <v>-44.225700000000003</v>
      </c>
      <c r="U20" t="s">
        <v>7</v>
      </c>
      <c r="V20">
        <f t="shared" si="0"/>
        <v>51.87232353000001</v>
      </c>
      <c r="W20">
        <f t="shared" si="1"/>
        <v>388.34993095587453</v>
      </c>
      <c r="Z20" t="s">
        <v>8</v>
      </c>
      <c r="AA20">
        <v>15.200124120000002</v>
      </c>
      <c r="AB20">
        <v>309.51100738108806</v>
      </c>
      <c r="AD20" t="s">
        <v>12</v>
      </c>
      <c r="AE20">
        <v>19.060794299999998</v>
      </c>
      <c r="AF20">
        <v>207.69594508994999</v>
      </c>
    </row>
    <row r="21" spans="1:32" x14ac:dyDescent="0.25">
      <c r="A21" t="s">
        <v>44</v>
      </c>
      <c r="B21" s="3">
        <v>7.0000000000000001E-3</v>
      </c>
      <c r="D21" t="s">
        <v>8</v>
      </c>
      <c r="E21" s="14">
        <v>0.89340000000000008</v>
      </c>
      <c r="F21" s="14">
        <v>0.9113</v>
      </c>
      <c r="J21" t="s">
        <v>18</v>
      </c>
      <c r="K21" s="14">
        <v>0.98049999999999993</v>
      </c>
      <c r="L21" s="14">
        <v>0.95519999999999994</v>
      </c>
      <c r="N21" t="s">
        <v>18</v>
      </c>
      <c r="O21" s="12">
        <v>185.06880000000001</v>
      </c>
      <c r="P21" s="12">
        <v>82.805599999999998</v>
      </c>
      <c r="Q21" s="12">
        <v>-34.223999999999997</v>
      </c>
      <c r="R21" s="12">
        <v>-45.643799999999999</v>
      </c>
      <c r="U21" t="s">
        <v>9</v>
      </c>
      <c r="V21">
        <f t="shared" si="0"/>
        <v>44.753745899999998</v>
      </c>
      <c r="W21">
        <f t="shared" si="1"/>
        <v>765.82609984079977</v>
      </c>
      <c r="Z21" t="s">
        <v>24</v>
      </c>
      <c r="AA21">
        <v>13.7409</v>
      </c>
      <c r="AB21">
        <v>-29.727063060000003</v>
      </c>
      <c r="AD21" t="s">
        <v>24</v>
      </c>
      <c r="AE21">
        <v>13.7409</v>
      </c>
      <c r="AF21">
        <v>-29.727063060000003</v>
      </c>
    </row>
    <row r="25" spans="1:32" x14ac:dyDescent="0.25">
      <c r="A25" s="2"/>
      <c r="B25"/>
      <c r="D25" s="2"/>
      <c r="F25"/>
    </row>
    <row r="26" spans="1:32" x14ac:dyDescent="0.25">
      <c r="A26" s="2"/>
      <c r="B26"/>
      <c r="D26" s="2"/>
      <c r="F26"/>
      <c r="Z26" s="1" t="s">
        <v>30</v>
      </c>
      <c r="AA26" s="1" t="s">
        <v>31</v>
      </c>
      <c r="AB26" s="1" t="s">
        <v>32</v>
      </c>
      <c r="AD26" s="1" t="s">
        <v>30</v>
      </c>
      <c r="AE26" s="1" t="s">
        <v>31</v>
      </c>
      <c r="AF26" s="1" t="s">
        <v>32</v>
      </c>
    </row>
    <row r="27" spans="1:32" x14ac:dyDescent="0.25">
      <c r="A27" s="11" t="s">
        <v>17</v>
      </c>
      <c r="B27" s="13" t="s">
        <v>28</v>
      </c>
      <c r="C27" s="13" t="s">
        <v>16</v>
      </c>
      <c r="D27" s="20" t="s">
        <v>23</v>
      </c>
      <c r="E27" s="20"/>
      <c r="F27" s="5"/>
      <c r="G27" s="21" t="s">
        <v>22</v>
      </c>
      <c r="H27" s="21"/>
      <c r="Z27" t="s">
        <v>25</v>
      </c>
      <c r="AA27">
        <v>63.168390390000006</v>
      </c>
      <c r="AB27">
        <v>660.41288784937217</v>
      </c>
      <c r="AD27" t="s">
        <v>9</v>
      </c>
      <c r="AE27">
        <v>44.753745899999998</v>
      </c>
      <c r="AF27">
        <v>765.82609984079977</v>
      </c>
    </row>
    <row r="28" spans="1:32" x14ac:dyDescent="0.25">
      <c r="A28" t="s">
        <v>10</v>
      </c>
      <c r="B28" s="12">
        <v>240.16159999999999</v>
      </c>
      <c r="C28" s="12">
        <v>107.3518</v>
      </c>
      <c r="D28" s="12">
        <v>-20.414999999999999</v>
      </c>
      <c r="E28" s="12">
        <v>-37.596899999999998</v>
      </c>
      <c r="F28" s="5"/>
      <c r="G28" t="s">
        <v>10</v>
      </c>
      <c r="H28" s="15">
        <v>188.3681</v>
      </c>
      <c r="Z28" t="s">
        <v>2</v>
      </c>
      <c r="AA28">
        <v>57.528658</v>
      </c>
      <c r="AB28">
        <v>700.38839968679997</v>
      </c>
      <c r="AD28" t="s">
        <v>2</v>
      </c>
      <c r="AE28">
        <v>57.528658</v>
      </c>
      <c r="AF28">
        <v>700.38839968679997</v>
      </c>
    </row>
    <row r="29" spans="1:32" x14ac:dyDescent="0.25">
      <c r="A29" t="s">
        <v>25</v>
      </c>
      <c r="B29" s="12">
        <v>233.0532</v>
      </c>
      <c r="C29" s="12">
        <v>82.703800000000001</v>
      </c>
      <c r="D29" s="12">
        <v>-20.909600000000001</v>
      </c>
      <c r="E29" s="12">
        <v>-58.257300000000001</v>
      </c>
      <c r="G29" t="s">
        <v>25</v>
      </c>
      <c r="H29" s="15">
        <v>185.02549999999999</v>
      </c>
      <c r="Z29" t="s">
        <v>7</v>
      </c>
      <c r="AA29">
        <v>51.87232353000001</v>
      </c>
      <c r="AB29">
        <v>388.34993095587453</v>
      </c>
      <c r="AD29" t="s">
        <v>25</v>
      </c>
      <c r="AE29">
        <v>63.168390390000006</v>
      </c>
      <c r="AF29">
        <v>660.41288784937217</v>
      </c>
    </row>
    <row r="30" spans="1:32" x14ac:dyDescent="0.25">
      <c r="A30" t="s">
        <v>6</v>
      </c>
      <c r="B30" s="12">
        <v>224.04150000000001</v>
      </c>
      <c r="C30" s="12">
        <v>103.9102</v>
      </c>
      <c r="D30" s="12">
        <v>-19.034500000000001</v>
      </c>
      <c r="E30" s="12">
        <v>-33.136699999999998</v>
      </c>
      <c r="G30" t="s">
        <v>26</v>
      </c>
      <c r="H30" s="15">
        <v>180.06829999999999</v>
      </c>
      <c r="Z30" t="s">
        <v>26</v>
      </c>
      <c r="AA30">
        <v>48.443163800000001</v>
      </c>
      <c r="AB30">
        <v>508.32138422796999</v>
      </c>
      <c r="AD30" t="s">
        <v>3</v>
      </c>
      <c r="AE30">
        <v>43.180367679999989</v>
      </c>
      <c r="AF30">
        <v>559.83130795281579</v>
      </c>
    </row>
    <row r="31" spans="1:32" x14ac:dyDescent="0.25">
      <c r="A31" t="s">
        <v>26</v>
      </c>
      <c r="B31" s="12">
        <v>222.71010000000001</v>
      </c>
      <c r="C31" s="12">
        <v>83.021799999999999</v>
      </c>
      <c r="D31" s="12">
        <v>-14.9733</v>
      </c>
      <c r="E31" s="12">
        <v>-44.225700000000003</v>
      </c>
      <c r="G31" t="s">
        <v>7</v>
      </c>
      <c r="H31" s="15">
        <v>178.82759999999999</v>
      </c>
      <c r="Z31" t="s">
        <v>9</v>
      </c>
      <c r="AA31">
        <v>44.753745899999998</v>
      </c>
      <c r="AB31">
        <v>765.82609984079977</v>
      </c>
      <c r="AD31" t="s">
        <v>26</v>
      </c>
      <c r="AE31">
        <v>48.443163800000001</v>
      </c>
      <c r="AF31">
        <v>508.32138422796999</v>
      </c>
    </row>
    <row r="32" spans="1:32" x14ac:dyDescent="0.25">
      <c r="A32" t="s">
        <v>7</v>
      </c>
      <c r="B32" s="12">
        <v>221.31450000000001</v>
      </c>
      <c r="C32" s="12">
        <v>98.600499999999997</v>
      </c>
      <c r="D32" s="12">
        <v>-22.254000000000001</v>
      </c>
      <c r="E32" s="12">
        <v>-39.016100000000002</v>
      </c>
      <c r="G32" t="s">
        <v>8</v>
      </c>
      <c r="H32" s="15">
        <v>174.26820000000001</v>
      </c>
      <c r="Z32" t="s">
        <v>3</v>
      </c>
      <c r="AA32">
        <v>43.180367679999989</v>
      </c>
      <c r="AB32">
        <v>559.83130795281579</v>
      </c>
      <c r="AD32" t="s">
        <v>5</v>
      </c>
      <c r="AE32">
        <v>42.390992650000001</v>
      </c>
      <c r="AF32">
        <v>471.68457521655006</v>
      </c>
    </row>
    <row r="33" spans="1:32" x14ac:dyDescent="0.25">
      <c r="A33" t="s">
        <v>2</v>
      </c>
      <c r="B33" s="12">
        <v>211.7251</v>
      </c>
      <c r="C33" s="12">
        <v>94.972999999999999</v>
      </c>
      <c r="D33" s="12">
        <v>-25.9299</v>
      </c>
      <c r="E33" s="12">
        <v>-40.674799999999998</v>
      </c>
      <c r="G33" t="s">
        <v>21</v>
      </c>
      <c r="H33" s="15">
        <v>172.57310000000001</v>
      </c>
      <c r="Z33" t="s">
        <v>5</v>
      </c>
      <c r="AA33">
        <v>42.390992650000001</v>
      </c>
      <c r="AB33">
        <v>471.68457521655006</v>
      </c>
      <c r="AD33" t="s">
        <v>6</v>
      </c>
      <c r="AE33">
        <v>40.40162874</v>
      </c>
      <c r="AF33">
        <v>412.39962536354994</v>
      </c>
    </row>
    <row r="34" spans="1:32" x14ac:dyDescent="0.25">
      <c r="A34" t="s">
        <v>8</v>
      </c>
      <c r="B34" s="12">
        <v>210.39340000000001</v>
      </c>
      <c r="C34" s="12">
        <v>92.510800000000003</v>
      </c>
      <c r="D34" s="12">
        <v>-20.9863</v>
      </c>
      <c r="E34" s="12">
        <v>-40.991</v>
      </c>
      <c r="G34" t="s">
        <v>5</v>
      </c>
      <c r="H34" s="15">
        <v>168.59460000000001</v>
      </c>
      <c r="Z34" t="s">
        <v>6</v>
      </c>
      <c r="AA34">
        <v>40.40162874</v>
      </c>
      <c r="AB34">
        <v>412.39962536354994</v>
      </c>
      <c r="AD34" t="s">
        <v>27</v>
      </c>
      <c r="AE34">
        <v>31.586248799999996</v>
      </c>
      <c r="AF34">
        <v>401.68548461447995</v>
      </c>
    </row>
    <row r="35" spans="1:32" x14ac:dyDescent="0.25">
      <c r="A35" t="s">
        <v>5</v>
      </c>
      <c r="B35" s="12">
        <v>208.52029999999999</v>
      </c>
      <c r="C35" s="12">
        <v>101.45399999999999</v>
      </c>
      <c r="D35" s="12">
        <v>-18.723299999999998</v>
      </c>
      <c r="E35" s="12">
        <v>-32.253999999999998</v>
      </c>
      <c r="G35" t="s">
        <v>12</v>
      </c>
      <c r="H35" s="15">
        <v>164.9127</v>
      </c>
      <c r="Z35" t="s">
        <v>10</v>
      </c>
      <c r="AA35">
        <v>36.502429679999999</v>
      </c>
      <c r="AB35">
        <v>321.09544780160394</v>
      </c>
      <c r="AD35" t="s">
        <v>7</v>
      </c>
      <c r="AE35">
        <v>51.87232353000001</v>
      </c>
      <c r="AF35">
        <v>388.34993095587453</v>
      </c>
    </row>
    <row r="36" spans="1:32" x14ac:dyDescent="0.25">
      <c r="A36" t="s">
        <v>21</v>
      </c>
      <c r="B36" s="12">
        <v>207.3502</v>
      </c>
      <c r="C36" s="12">
        <v>72.156400000000005</v>
      </c>
      <c r="D36" s="12">
        <v>-24.3492</v>
      </c>
      <c r="E36" s="12">
        <v>-51.023200000000003</v>
      </c>
      <c r="G36" t="s">
        <v>11</v>
      </c>
      <c r="H36" s="15">
        <v>163.6489</v>
      </c>
      <c r="Z36" t="s">
        <v>21</v>
      </c>
      <c r="AA36">
        <v>34.231636000000002</v>
      </c>
      <c r="AB36">
        <v>259.8711762758</v>
      </c>
      <c r="AD36" t="s">
        <v>10</v>
      </c>
      <c r="AE36">
        <v>36.502429679999999</v>
      </c>
      <c r="AF36">
        <v>321.09544780160394</v>
      </c>
    </row>
    <row r="37" spans="1:32" x14ac:dyDescent="0.25">
      <c r="A37" t="s">
        <v>3</v>
      </c>
      <c r="B37" s="12">
        <v>203.5121</v>
      </c>
      <c r="C37" s="12">
        <v>98.546000000000006</v>
      </c>
      <c r="D37" s="12">
        <v>-25.434200000000001</v>
      </c>
      <c r="E37" s="12">
        <v>-35.570099999999996</v>
      </c>
      <c r="G37" t="s">
        <v>2</v>
      </c>
      <c r="H37" s="15">
        <v>160.2561</v>
      </c>
      <c r="Z37" t="s">
        <v>4</v>
      </c>
      <c r="AA37">
        <v>32.689354549999997</v>
      </c>
      <c r="AB37">
        <v>311.11275959098748</v>
      </c>
      <c r="AD37" t="s">
        <v>4</v>
      </c>
      <c r="AE37">
        <v>32.689354549999997</v>
      </c>
      <c r="AF37">
        <v>311.11275959098748</v>
      </c>
    </row>
    <row r="38" spans="1:32" x14ac:dyDescent="0.25">
      <c r="A38" t="s">
        <v>12</v>
      </c>
      <c r="B38" s="12">
        <v>202.90360000000001</v>
      </c>
      <c r="C38" s="12">
        <v>94.757400000000004</v>
      </c>
      <c r="D38" s="12">
        <v>-17.5931</v>
      </c>
      <c r="E38" s="12">
        <v>-32.6556</v>
      </c>
      <c r="G38" t="s">
        <v>3</v>
      </c>
      <c r="H38" s="15">
        <v>156.32810000000001</v>
      </c>
      <c r="Z38" t="s">
        <v>27</v>
      </c>
      <c r="AA38">
        <v>31.586248799999996</v>
      </c>
      <c r="AB38">
        <v>401.68548461447995</v>
      </c>
      <c r="AD38" t="s">
        <v>13</v>
      </c>
      <c r="AE38">
        <v>29.167292200000002</v>
      </c>
      <c r="AF38">
        <v>273.05398102413</v>
      </c>
    </row>
    <row r="39" spans="1:32" x14ac:dyDescent="0.25">
      <c r="A39" t="s">
        <v>11</v>
      </c>
      <c r="B39" s="12">
        <v>189.41200000000001</v>
      </c>
      <c r="C39" s="12">
        <v>94.838499999999996</v>
      </c>
      <c r="D39" s="12">
        <v>-15.1831</v>
      </c>
      <c r="E39" s="12">
        <v>-27.46</v>
      </c>
      <c r="G39" t="s">
        <v>6</v>
      </c>
      <c r="H39" s="15">
        <v>152.57339999999999</v>
      </c>
      <c r="Z39" t="s">
        <v>13</v>
      </c>
      <c r="AA39">
        <v>29.167292200000002</v>
      </c>
      <c r="AB39">
        <v>273.05398102413</v>
      </c>
      <c r="AD39" t="s">
        <v>21</v>
      </c>
      <c r="AE39">
        <v>34.231636000000002</v>
      </c>
      <c r="AF39">
        <v>259.8711762758</v>
      </c>
    </row>
    <row r="40" spans="1:32" x14ac:dyDescent="0.25">
      <c r="A40" t="s">
        <v>4</v>
      </c>
      <c r="B40" s="12">
        <v>185.5958</v>
      </c>
      <c r="C40" s="12">
        <v>99.421800000000005</v>
      </c>
      <c r="D40" s="12">
        <v>-15.5097</v>
      </c>
      <c r="E40" s="12">
        <v>-25.957699999999999</v>
      </c>
      <c r="G40" t="s">
        <v>18</v>
      </c>
      <c r="H40" s="15">
        <v>145.3356</v>
      </c>
      <c r="Z40" t="s">
        <v>18</v>
      </c>
      <c r="AA40">
        <v>25.524206409999998</v>
      </c>
      <c r="AB40">
        <v>197.93639207858848</v>
      </c>
      <c r="AD40" t="s">
        <v>18</v>
      </c>
      <c r="AE40">
        <v>25.524206409999998</v>
      </c>
      <c r="AF40">
        <v>197.93639207858848</v>
      </c>
    </row>
    <row r="41" spans="1:32" x14ac:dyDescent="0.25">
      <c r="A41" t="s">
        <v>9</v>
      </c>
      <c r="B41" s="12">
        <v>185.27959999999999</v>
      </c>
      <c r="C41" s="12">
        <v>103.9067</v>
      </c>
      <c r="D41" s="12">
        <v>-12.5025</v>
      </c>
      <c r="E41" s="12">
        <v>-20.688300000000002</v>
      </c>
      <c r="G41" t="s">
        <v>27</v>
      </c>
      <c r="H41" s="15">
        <v>142.12289999999999</v>
      </c>
      <c r="Z41" t="s">
        <v>29</v>
      </c>
      <c r="AA41">
        <v>21.223311340000002</v>
      </c>
      <c r="AB41">
        <v>108.77795994203601</v>
      </c>
      <c r="AD41" t="s">
        <v>8</v>
      </c>
      <c r="AE41">
        <v>15.200124120000002</v>
      </c>
      <c r="AF41">
        <v>154.755503690544</v>
      </c>
    </row>
    <row r="42" spans="1:32" x14ac:dyDescent="0.25">
      <c r="A42" t="s">
        <v>18</v>
      </c>
      <c r="B42" s="12">
        <v>185.06880000000001</v>
      </c>
      <c r="C42" s="12">
        <v>82.805599999999998</v>
      </c>
      <c r="D42" s="12">
        <v>-34.223999999999997</v>
      </c>
      <c r="E42" s="12">
        <v>-45.643799999999999</v>
      </c>
      <c r="G42" t="s">
        <v>4</v>
      </c>
      <c r="H42" s="15">
        <v>141.46019999999999</v>
      </c>
      <c r="Z42" t="s">
        <v>12</v>
      </c>
      <c r="AA42">
        <v>19.060794299999998</v>
      </c>
      <c r="AB42">
        <v>103.84797254497499</v>
      </c>
      <c r="AD42" t="s">
        <v>11</v>
      </c>
      <c r="AE42">
        <v>18.911175029999999</v>
      </c>
      <c r="AF42">
        <v>118.21848290628749</v>
      </c>
    </row>
    <row r="43" spans="1:32" x14ac:dyDescent="0.25">
      <c r="A43" t="s">
        <v>24</v>
      </c>
      <c r="B43" s="12">
        <v>167.67490000000001</v>
      </c>
      <c r="C43" s="12">
        <v>74.382199999999997</v>
      </c>
      <c r="D43" s="12">
        <v>-10.8965</v>
      </c>
      <c r="E43" s="12">
        <v>-28.836300000000001</v>
      </c>
      <c r="G43" t="s">
        <v>9</v>
      </c>
      <c r="H43" s="15">
        <v>135.41460000000001</v>
      </c>
      <c r="Z43" t="s">
        <v>11</v>
      </c>
      <c r="AA43">
        <v>18.911175029999999</v>
      </c>
      <c r="AB43">
        <v>118.21848290628749</v>
      </c>
      <c r="AD43" t="s">
        <v>29</v>
      </c>
      <c r="AE43">
        <v>21.223311340000002</v>
      </c>
      <c r="AF43">
        <v>108.77795994203601</v>
      </c>
    </row>
    <row r="44" spans="1:32" x14ac:dyDescent="0.25">
      <c r="A44" t="s">
        <v>13</v>
      </c>
      <c r="B44" s="12">
        <v>159.52379999999999</v>
      </c>
      <c r="C44" s="12">
        <v>81.895700000000005</v>
      </c>
      <c r="D44" s="12">
        <v>-20.362400000000001</v>
      </c>
      <c r="E44" s="12">
        <v>-25.824200000000001</v>
      </c>
      <c r="G44" t="s">
        <v>29</v>
      </c>
      <c r="H44" s="15">
        <v>133.49709999999999</v>
      </c>
      <c r="Z44" t="s">
        <v>8</v>
      </c>
      <c r="AA44">
        <v>15.200124120000002</v>
      </c>
      <c r="AB44">
        <v>154.755503690544</v>
      </c>
      <c r="AD44" t="s">
        <v>12</v>
      </c>
      <c r="AE44">
        <v>19.060794299999998</v>
      </c>
      <c r="AF44">
        <v>103.84797254497499</v>
      </c>
    </row>
    <row r="45" spans="1:32" x14ac:dyDescent="0.25">
      <c r="A45" t="s">
        <v>27</v>
      </c>
      <c r="B45" s="12">
        <v>142.12289999999999</v>
      </c>
      <c r="C45" s="12">
        <v>57.335500000000003</v>
      </c>
      <c r="D45" s="12">
        <v>-10.2508</v>
      </c>
      <c r="E45" s="12">
        <v>-27.150200000000002</v>
      </c>
      <c r="G45" t="s">
        <v>13</v>
      </c>
      <c r="H45" s="15">
        <v>127.86360000000001</v>
      </c>
      <c r="Z45" t="s">
        <v>24</v>
      </c>
      <c r="AA45">
        <v>13.7409</v>
      </c>
      <c r="AB45">
        <v>-14.863531530000001</v>
      </c>
      <c r="AD45" t="s">
        <v>24</v>
      </c>
      <c r="AE45">
        <v>13.7409</v>
      </c>
      <c r="AF45">
        <v>-14.863531530000001</v>
      </c>
    </row>
    <row r="46" spans="1:32" x14ac:dyDescent="0.25">
      <c r="A46" t="s">
        <v>29</v>
      </c>
      <c r="B46" s="12">
        <v>133.49709999999999</v>
      </c>
      <c r="C46" s="12">
        <v>64.091499999999996</v>
      </c>
      <c r="D46" s="12">
        <v>2.1634000000000002</v>
      </c>
      <c r="E46" s="12">
        <v>-13.7409</v>
      </c>
      <c r="G46" t="s">
        <v>24</v>
      </c>
      <c r="H46" s="15">
        <v>120.04130000000001</v>
      </c>
    </row>
    <row r="47" spans="1:32" x14ac:dyDescent="0.25">
      <c r="A47" s="2"/>
      <c r="B47"/>
      <c r="D47" s="2"/>
      <c r="F47"/>
    </row>
    <row r="48" spans="1:32" x14ac:dyDescent="0.25">
      <c r="A48" s="2"/>
      <c r="B48"/>
      <c r="D48" s="2"/>
      <c r="F48"/>
    </row>
    <row r="49" spans="1:6" x14ac:dyDescent="0.25">
      <c r="A49" s="2"/>
      <c r="B49"/>
      <c r="D49" s="2"/>
      <c r="F49"/>
    </row>
    <row r="50" spans="1:6" x14ac:dyDescent="0.25">
      <c r="A50" s="2"/>
      <c r="B50"/>
      <c r="D50" s="2"/>
      <c r="F50"/>
    </row>
  </sheetData>
  <sortState xmlns:xlrd2="http://schemas.microsoft.com/office/spreadsheetml/2017/richdata2" ref="AD27:AF45">
    <sortCondition descending="1" ref="AF27:AF45"/>
  </sortState>
  <mergeCells count="3">
    <mergeCell ref="D27:E27"/>
    <mergeCell ref="G27:H27"/>
    <mergeCell ref="Q2:R2"/>
  </mergeCells>
  <conditionalFormatting sqref="B3:B21">
    <cfRule type="colorScale" priority="1">
      <colorScale>
        <cfvo type="min"/>
        <cfvo type="max"/>
        <color rgb="FFFF7128"/>
        <color rgb="FF92D050"/>
      </colorScale>
    </cfRule>
  </conditionalFormatting>
  <conditionalFormatting sqref="D28:D46">
    <cfRule type="cellIs" dxfId="69" priority="18" operator="between">
      <formula>-30</formula>
      <formula>-20</formula>
    </cfRule>
    <cfRule type="cellIs" dxfId="68" priority="19" operator="between">
      <formula>-40</formula>
      <formula>-30</formula>
    </cfRule>
    <cfRule type="cellIs" dxfId="67" priority="20" operator="lessThanOrEqual">
      <formula>-40</formula>
    </cfRule>
  </conditionalFormatting>
  <conditionalFormatting sqref="E3:E21">
    <cfRule type="colorScale" priority="2">
      <colorScale>
        <cfvo type="min"/>
        <cfvo type="percentile" val="50"/>
        <cfvo type="max"/>
        <color rgb="FF00B050"/>
        <color rgb="FFFFEB84"/>
        <color rgb="FFFF0000"/>
      </colorScale>
    </cfRule>
    <cfRule type="cellIs" dxfId="66" priority="3" operator="greaterThan">
      <formula>120</formula>
    </cfRule>
    <cfRule type="cellIs" dxfId="65" priority="4" operator="between">
      <formula>105</formula>
      <formula>120</formula>
    </cfRule>
    <cfRule type="colorScale" priority="5">
      <colorScale>
        <cfvo type="min"/>
        <cfvo type="max"/>
        <color rgb="FF92D050"/>
        <color rgb="FFFF0000"/>
      </colorScale>
    </cfRule>
  </conditionalFormatting>
  <conditionalFormatting sqref="E28:E46">
    <cfRule type="cellIs" dxfId="64" priority="21" operator="between">
      <formula>-40</formula>
      <formula>-30</formula>
    </cfRule>
    <cfRule type="cellIs" dxfId="63" priority="22" operator="between">
      <formula>-60</formula>
      <formula>-40</formula>
    </cfRule>
    <cfRule type="cellIs" dxfId="62" priority="23" operator="lessThanOrEqual">
      <formula>-60</formula>
    </cfRule>
  </conditionalFormatting>
  <conditionalFormatting sqref="F3:F21">
    <cfRule type="colorScale" priority="6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K3:K21">
    <cfRule type="colorScale" priority="13">
      <colorScale>
        <cfvo type="min"/>
        <cfvo type="percentile" val="50"/>
        <cfvo type="max"/>
        <color rgb="FF00B050"/>
        <color rgb="FFFFEB84"/>
        <color rgb="FFFF0000"/>
      </colorScale>
    </cfRule>
    <cfRule type="cellIs" dxfId="61" priority="14" operator="greaterThan">
      <formula>120</formula>
    </cfRule>
    <cfRule type="cellIs" dxfId="60" priority="15" operator="between">
      <formula>105</formula>
      <formula>120</formula>
    </cfRule>
    <cfRule type="colorScale" priority="16">
      <colorScale>
        <cfvo type="min"/>
        <cfvo type="max"/>
        <color rgb="FF92D050"/>
        <color rgb="FFFF0000"/>
      </colorScale>
    </cfRule>
  </conditionalFormatting>
  <conditionalFormatting sqref="L3:L21">
    <cfRule type="colorScale" priority="17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Q3:Q21">
    <cfRule type="cellIs" dxfId="59" priority="7" operator="between">
      <formula>-30</formula>
      <formula>-20</formula>
    </cfRule>
    <cfRule type="cellIs" dxfId="58" priority="8" operator="between">
      <formula>-40</formula>
      <formula>-30</formula>
    </cfRule>
    <cfRule type="cellIs" dxfId="57" priority="9" operator="lessThanOrEqual">
      <formula>-40</formula>
    </cfRule>
  </conditionalFormatting>
  <conditionalFormatting sqref="R3:R21">
    <cfRule type="cellIs" dxfId="56" priority="10" operator="between">
      <formula>-40</formula>
      <formula>-30</formula>
    </cfRule>
    <cfRule type="cellIs" dxfId="55" priority="11" operator="between">
      <formula>-60</formula>
      <formula>-40</formula>
    </cfRule>
    <cfRule type="cellIs" dxfId="54" priority="12" operator="lessThanOrEqual">
      <formula>-60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FDE8C-DAA0-44E3-8CD9-77BDFF7BFBF6}">
  <dimension ref="A1:L22"/>
  <sheetViews>
    <sheetView workbookViewId="0">
      <selection activeCell="H24" sqref="H24"/>
    </sheetView>
  </sheetViews>
  <sheetFormatPr defaultRowHeight="13.2" x14ac:dyDescent="0.25"/>
  <cols>
    <col min="1" max="1" width="11.33203125" customWidth="1"/>
    <col min="2" max="2" width="20.21875" customWidth="1"/>
    <col min="3" max="5" width="23" style="2" customWidth="1"/>
  </cols>
  <sheetData>
    <row r="1" spans="1:5" x14ac:dyDescent="0.25">
      <c r="B1" s="19"/>
      <c r="C1" s="18" t="s">
        <v>36</v>
      </c>
      <c r="D1" s="18" t="s">
        <v>37</v>
      </c>
      <c r="E1" s="18" t="s">
        <v>38</v>
      </c>
    </row>
    <row r="2" spans="1:5" x14ac:dyDescent="0.25">
      <c r="A2" s="17" t="s">
        <v>39</v>
      </c>
      <c r="B2" s="19" t="s">
        <v>0</v>
      </c>
      <c r="C2" s="18" t="s">
        <v>42</v>
      </c>
      <c r="D2" s="18" t="s">
        <v>42</v>
      </c>
      <c r="E2" s="18" t="s">
        <v>42</v>
      </c>
    </row>
    <row r="3" spans="1:5" x14ac:dyDescent="0.25">
      <c r="A3" s="17">
        <v>46005</v>
      </c>
      <c r="B3" s="23" t="s">
        <v>12</v>
      </c>
      <c r="C3" s="14">
        <v>1.9188999999999998</v>
      </c>
      <c r="D3" s="14">
        <v>0.45950000000000002</v>
      </c>
      <c r="E3" s="14">
        <v>0.62159999999999993</v>
      </c>
    </row>
    <row r="4" spans="1:5" x14ac:dyDescent="0.25">
      <c r="B4" s="23" t="s">
        <v>24</v>
      </c>
      <c r="C4" s="14">
        <v>1.7053</v>
      </c>
      <c r="D4" s="14">
        <v>0.82109999999999994</v>
      </c>
      <c r="E4" s="14">
        <v>0.47369999999999995</v>
      </c>
    </row>
    <row r="5" spans="1:5" x14ac:dyDescent="0.25">
      <c r="B5" s="23" t="s">
        <v>21</v>
      </c>
      <c r="C5" s="14">
        <v>1.5287999999999999</v>
      </c>
      <c r="D5" s="14">
        <v>1.0962000000000001</v>
      </c>
      <c r="E5" s="14">
        <v>0.375</v>
      </c>
    </row>
    <row r="6" spans="1:5" x14ac:dyDescent="0.25">
      <c r="B6" s="23" t="s">
        <v>41</v>
      </c>
      <c r="C6" s="14">
        <v>1.3125</v>
      </c>
      <c r="D6" s="14">
        <v>0.8125</v>
      </c>
      <c r="E6" s="14">
        <v>0.875</v>
      </c>
    </row>
    <row r="7" spans="1:5" x14ac:dyDescent="0.25">
      <c r="B7" s="23" t="s">
        <v>2</v>
      </c>
      <c r="C7" s="14">
        <v>1.2422</v>
      </c>
      <c r="D7" s="14">
        <v>0.75</v>
      </c>
      <c r="E7" s="14">
        <v>1.0078</v>
      </c>
    </row>
    <row r="8" spans="1:5" x14ac:dyDescent="0.25">
      <c r="B8" s="23" t="s">
        <v>8</v>
      </c>
      <c r="C8" s="14">
        <v>1.2024999999999999</v>
      </c>
      <c r="D8" s="14">
        <v>0.95450000000000002</v>
      </c>
      <c r="E8" s="14">
        <v>0.84299999999999997</v>
      </c>
    </row>
    <row r="9" spans="1:5" x14ac:dyDescent="0.25">
      <c r="B9" s="23" t="s">
        <v>3</v>
      </c>
      <c r="C9" s="14">
        <v>1.1715</v>
      </c>
      <c r="D9" s="14">
        <v>0.7883</v>
      </c>
      <c r="E9" s="14">
        <v>1.0401</v>
      </c>
    </row>
    <row r="10" spans="1:5" x14ac:dyDescent="0.25">
      <c r="B10" s="23" t="s">
        <v>6</v>
      </c>
      <c r="C10" s="14">
        <v>1.099</v>
      </c>
      <c r="D10" s="14">
        <v>0.95050000000000001</v>
      </c>
      <c r="E10" s="14">
        <v>0.95050000000000001</v>
      </c>
    </row>
    <row r="11" spans="1:5" x14ac:dyDescent="0.25">
      <c r="B11" s="23" t="s">
        <v>9</v>
      </c>
      <c r="C11" s="14">
        <v>1.0815000000000001</v>
      </c>
      <c r="D11" s="14">
        <v>0.79830000000000001</v>
      </c>
      <c r="E11" s="14">
        <v>1.1201999999999999</v>
      </c>
    </row>
    <row r="12" spans="1:5" x14ac:dyDescent="0.25">
      <c r="B12" s="23" t="s">
        <v>35</v>
      </c>
      <c r="C12" s="14">
        <v>1.0669</v>
      </c>
      <c r="D12" s="14">
        <v>0.94140000000000001</v>
      </c>
      <c r="E12" s="14">
        <v>0.99159999999999993</v>
      </c>
    </row>
    <row r="13" spans="1:5" x14ac:dyDescent="0.25">
      <c r="B13" s="23" t="s">
        <v>5</v>
      </c>
      <c r="C13" s="14">
        <v>1.0217000000000001</v>
      </c>
      <c r="D13" s="14">
        <v>1.0217000000000001</v>
      </c>
      <c r="E13" s="14">
        <v>0.95650000000000002</v>
      </c>
    </row>
    <row r="14" spans="1:5" x14ac:dyDescent="0.25">
      <c r="B14" s="23" t="s">
        <v>13</v>
      </c>
      <c r="C14" s="14">
        <v>1.008</v>
      </c>
      <c r="D14" s="14">
        <v>1.1279999999999999</v>
      </c>
      <c r="E14" s="14">
        <v>0.8640000000000001</v>
      </c>
    </row>
    <row r="15" spans="1:5" x14ac:dyDescent="0.25">
      <c r="B15" s="23" t="s">
        <v>11</v>
      </c>
      <c r="C15" s="14">
        <v>0.9859</v>
      </c>
      <c r="D15" s="14">
        <v>0.83750000000000002</v>
      </c>
      <c r="E15" s="14">
        <v>1.1767000000000001</v>
      </c>
    </row>
    <row r="16" spans="1:5" x14ac:dyDescent="0.25">
      <c r="B16" s="23" t="s">
        <v>33</v>
      </c>
      <c r="C16" s="14">
        <v>0.91590000000000005</v>
      </c>
      <c r="D16" s="14">
        <v>0.96900000000000008</v>
      </c>
      <c r="E16" s="14">
        <v>1.115</v>
      </c>
    </row>
    <row r="17" spans="1:12" x14ac:dyDescent="0.25">
      <c r="B17" s="23" t="s">
        <v>18</v>
      </c>
      <c r="C17" s="14">
        <v>0.87549999999999994</v>
      </c>
      <c r="D17" s="14">
        <v>0.93389999999999995</v>
      </c>
      <c r="E17" s="14">
        <v>1.1906999999999999</v>
      </c>
    </row>
    <row r="18" spans="1:12" x14ac:dyDescent="0.25">
      <c r="B18" s="23" t="s">
        <v>43</v>
      </c>
      <c r="C18" s="14">
        <v>0.86209999999999998</v>
      </c>
      <c r="D18" s="14">
        <v>1.1149</v>
      </c>
      <c r="E18" s="14">
        <v>1.0229999999999999</v>
      </c>
    </row>
    <row r="19" spans="1:12" x14ac:dyDescent="0.25">
      <c r="B19" s="23" t="s">
        <v>10</v>
      </c>
      <c r="C19" s="14">
        <v>0.84329999999999994</v>
      </c>
      <c r="D19" s="14">
        <v>1.2304000000000002</v>
      </c>
      <c r="E19" s="14">
        <v>0.9262999999999999</v>
      </c>
    </row>
    <row r="20" spans="1:12" x14ac:dyDescent="0.25">
      <c r="B20" s="23" t="s">
        <v>4</v>
      </c>
      <c r="C20" s="14">
        <v>0.81159999999999999</v>
      </c>
      <c r="D20" s="14">
        <v>1.2609000000000001</v>
      </c>
      <c r="E20" s="14">
        <v>0.92749999999999999</v>
      </c>
    </row>
    <row r="21" spans="1:12" ht="13.8" x14ac:dyDescent="0.25">
      <c r="A21" s="17">
        <v>46005</v>
      </c>
      <c r="B21" s="23" t="s">
        <v>44</v>
      </c>
      <c r="C21" s="14">
        <v>0.48840000000000006</v>
      </c>
      <c r="D21" s="14">
        <v>1.5349000000000002</v>
      </c>
      <c r="E21" s="14">
        <v>0.97670000000000001</v>
      </c>
      <c r="L21" s="16"/>
    </row>
    <row r="22" spans="1:12" x14ac:dyDescent="0.25">
      <c r="B22" s="23" t="s">
        <v>40</v>
      </c>
      <c r="C22" s="14">
        <v>1.0803</v>
      </c>
      <c r="D22" s="14">
        <v>0.95019999999999993</v>
      </c>
      <c r="E22" s="14">
        <v>0.96950000000000003</v>
      </c>
    </row>
  </sheetData>
  <conditionalFormatting sqref="D3:E21 C3:C1048576">
    <cfRule type="cellIs" dxfId="53" priority="9" operator="lessThan">
      <formula>0.6</formula>
    </cfRule>
    <cfRule type="cellIs" dxfId="52" priority="10" operator="between">
      <formula>0.6</formula>
      <formula>0.8</formula>
    </cfRule>
    <cfRule type="cellIs" dxfId="51" priority="11" operator="between">
      <formula>0.8</formula>
      <formula>1</formula>
    </cfRule>
    <cfRule type="cellIs" dxfId="50" priority="12" operator="greaterThan">
      <formula>1</formula>
    </cfRule>
  </conditionalFormatting>
  <conditionalFormatting sqref="D22:E22">
    <cfRule type="cellIs" dxfId="3" priority="1" operator="lessThan">
      <formula>0.6</formula>
    </cfRule>
    <cfRule type="cellIs" dxfId="2" priority="2" operator="between">
      <formula>0.6</formula>
      <formula>0.8</formula>
    </cfRule>
    <cfRule type="cellIs" dxfId="1" priority="3" operator="between">
      <formula>0.8</formula>
      <formula>1</formula>
    </cfRule>
    <cfRule type="cellIs" dxfId="0" priority="4" operator="greaterThan">
      <formula>1</formula>
    </cfRule>
  </conditionalFormatting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51B4C-8DAB-415B-A2B2-7384CD5DE23E}">
  <dimension ref="A1:AF50"/>
  <sheetViews>
    <sheetView topLeftCell="J1" workbookViewId="0">
      <selection activeCell="AB27" sqref="AB27"/>
    </sheetView>
  </sheetViews>
  <sheetFormatPr defaultRowHeight="13.2" x14ac:dyDescent="0.25"/>
  <cols>
    <col min="1" max="1" width="20.33203125" customWidth="1"/>
    <col min="2" max="2" width="22.109375" style="2" customWidth="1"/>
    <col min="4" max="4" width="19.21875" customWidth="1"/>
    <col min="5" max="6" width="13.5546875" style="2" customWidth="1"/>
    <col min="7" max="7" width="7.88671875" customWidth="1"/>
    <col min="8" max="8" width="14.33203125" customWidth="1"/>
    <col min="10" max="10" width="11.109375" customWidth="1"/>
    <col min="21" max="21" width="11.77734375" customWidth="1"/>
    <col min="26" max="26" width="11.6640625" customWidth="1"/>
  </cols>
  <sheetData>
    <row r="1" spans="1:32" x14ac:dyDescent="0.25">
      <c r="B1" s="3"/>
      <c r="E1" s="3"/>
      <c r="F1" s="3"/>
    </row>
    <row r="2" spans="1:32" s="1" customFormat="1" ht="52.8" x14ac:dyDescent="0.25">
      <c r="A2" s="8" t="s">
        <v>0</v>
      </c>
      <c r="B2" s="9" t="s">
        <v>1</v>
      </c>
      <c r="C2" s="8"/>
      <c r="D2" s="8" t="s">
        <v>0</v>
      </c>
      <c r="E2" s="10" t="s">
        <v>19</v>
      </c>
      <c r="F2" s="10" t="s">
        <v>20</v>
      </c>
      <c r="J2" s="8" t="s">
        <v>0</v>
      </c>
      <c r="K2" s="10" t="s">
        <v>19</v>
      </c>
      <c r="L2" s="10" t="s">
        <v>20</v>
      </c>
      <c r="N2" s="11" t="s">
        <v>17</v>
      </c>
      <c r="O2" s="13" t="s">
        <v>28</v>
      </c>
      <c r="P2" s="13" t="s">
        <v>16</v>
      </c>
      <c r="Q2" s="20" t="s">
        <v>23</v>
      </c>
      <c r="R2" s="20"/>
      <c r="U2" s="11" t="s">
        <v>17</v>
      </c>
      <c r="Z2" s="1" t="s">
        <v>30</v>
      </c>
      <c r="AA2" s="1" t="s">
        <v>31</v>
      </c>
      <c r="AB2" s="1" t="s">
        <v>32</v>
      </c>
      <c r="AD2" s="1" t="s">
        <v>30</v>
      </c>
      <c r="AE2" s="1" t="s">
        <v>31</v>
      </c>
      <c r="AF2" s="1" t="s">
        <v>32</v>
      </c>
    </row>
    <row r="3" spans="1:32" x14ac:dyDescent="0.25">
      <c r="A3" t="s">
        <v>5</v>
      </c>
      <c r="B3" s="3">
        <v>7.2999999999999995E-2</v>
      </c>
      <c r="D3" t="s">
        <v>44</v>
      </c>
      <c r="E3" s="14">
        <v>1.1915</v>
      </c>
      <c r="F3" s="14">
        <v>1.1613</v>
      </c>
      <c r="J3" t="s">
        <v>33</v>
      </c>
      <c r="K3" s="14">
        <v>1.0852999999999999</v>
      </c>
      <c r="L3" s="14">
        <v>1.0415000000000001</v>
      </c>
      <c r="N3" t="s">
        <v>33</v>
      </c>
      <c r="O3" s="12">
        <v>189.8817</v>
      </c>
      <c r="P3" s="12">
        <v>92.9084</v>
      </c>
      <c r="Q3" s="12">
        <v>-13.129799999999999</v>
      </c>
      <c r="R3" s="12">
        <v>-34.090200000000003</v>
      </c>
      <c r="U3" t="s">
        <v>25</v>
      </c>
      <c r="V3">
        <f>K3*(-(R3))</f>
        <v>36.99809406</v>
      </c>
      <c r="W3">
        <f>K3*((-(Q3))*(-(R3))/2)</f>
        <v>242.888787694494</v>
      </c>
      <c r="Z3" t="s">
        <v>25</v>
      </c>
      <c r="AA3">
        <v>63.168390390000006</v>
      </c>
      <c r="AB3">
        <v>1320.8257756987441</v>
      </c>
      <c r="AD3" t="s">
        <v>9</v>
      </c>
      <c r="AE3">
        <v>44.753745899999998</v>
      </c>
      <c r="AF3">
        <v>1531.6521996815998</v>
      </c>
    </row>
    <row r="4" spans="1:32" x14ac:dyDescent="0.25">
      <c r="A4" t="s">
        <v>2</v>
      </c>
      <c r="B4" s="3">
        <v>6.8000000000000005E-2</v>
      </c>
      <c r="D4" t="s">
        <v>21</v>
      </c>
      <c r="E4" s="14">
        <v>1.1375999999999999</v>
      </c>
      <c r="F4" s="14">
        <v>1.0703</v>
      </c>
      <c r="J4" t="s">
        <v>12</v>
      </c>
      <c r="K4" s="14">
        <v>1.0652999999999999</v>
      </c>
      <c r="L4" s="14">
        <v>1.0526</v>
      </c>
      <c r="N4" t="s">
        <v>12</v>
      </c>
      <c r="O4" s="12">
        <v>210.5668</v>
      </c>
      <c r="P4" s="12">
        <v>96.992500000000007</v>
      </c>
      <c r="Q4" s="12">
        <v>-17.8933</v>
      </c>
      <c r="R4" s="12">
        <v>-41.105899999999998</v>
      </c>
      <c r="U4" t="s">
        <v>10</v>
      </c>
      <c r="V4">
        <f t="shared" ref="V4:V21" si="0">K4*(-(R4))</f>
        <v>43.790115269999994</v>
      </c>
      <c r="W4">
        <f t="shared" ref="W4:W21" si="1">K4*((-(Q4))*(-(R4))/2)</f>
        <v>391.77483478034543</v>
      </c>
      <c r="Z4" t="s">
        <v>2</v>
      </c>
      <c r="AA4">
        <v>57.528658</v>
      </c>
      <c r="AB4">
        <v>1400.7767993736002</v>
      </c>
      <c r="AD4" t="s">
        <v>2</v>
      </c>
      <c r="AE4">
        <v>57.528658</v>
      </c>
      <c r="AF4">
        <v>1400.7767993736002</v>
      </c>
    </row>
    <row r="5" spans="1:32" x14ac:dyDescent="0.25">
      <c r="A5" t="s">
        <v>6</v>
      </c>
      <c r="B5" s="3">
        <v>6.7000000000000004E-2</v>
      </c>
      <c r="D5" t="s">
        <v>5</v>
      </c>
      <c r="E5" s="14">
        <v>1.0992</v>
      </c>
      <c r="F5" s="14">
        <v>1.1091</v>
      </c>
      <c r="J5" t="s">
        <v>5</v>
      </c>
      <c r="K5" s="14">
        <v>1.0992</v>
      </c>
      <c r="L5" s="14">
        <v>1.1091</v>
      </c>
      <c r="N5" t="s">
        <v>5</v>
      </c>
      <c r="O5" s="12">
        <v>178.25239999999999</v>
      </c>
      <c r="P5" s="12">
        <v>98.659199999999998</v>
      </c>
      <c r="Q5" s="12">
        <v>-12.4735</v>
      </c>
      <c r="R5" s="12">
        <v>-31.005700000000001</v>
      </c>
      <c r="U5" t="s">
        <v>13</v>
      </c>
      <c r="V5">
        <f t="shared" si="0"/>
        <v>34.081465440000002</v>
      </c>
      <c r="W5">
        <f t="shared" si="1"/>
        <v>212.55757958292</v>
      </c>
      <c r="Z5" t="s">
        <v>7</v>
      </c>
      <c r="AA5">
        <v>51.87232353000001</v>
      </c>
      <c r="AB5">
        <v>776.69986191174917</v>
      </c>
      <c r="AD5" t="s">
        <v>25</v>
      </c>
      <c r="AE5">
        <v>63.168390390000006</v>
      </c>
      <c r="AF5">
        <v>1320.8257756987441</v>
      </c>
    </row>
    <row r="6" spans="1:32" x14ac:dyDescent="0.25">
      <c r="A6" t="s">
        <v>18</v>
      </c>
      <c r="B6" s="3">
        <v>6.5000000000000002E-2</v>
      </c>
      <c r="D6" t="s">
        <v>18</v>
      </c>
      <c r="E6" s="14">
        <v>1.0972</v>
      </c>
      <c r="F6" s="14">
        <v>1.0398000000000001</v>
      </c>
      <c r="J6" t="s">
        <v>44</v>
      </c>
      <c r="K6" s="14">
        <v>1.1915</v>
      </c>
      <c r="L6" s="14">
        <v>1.1613</v>
      </c>
      <c r="N6" t="s">
        <v>44</v>
      </c>
      <c r="O6" s="12">
        <v>240.29650000000001</v>
      </c>
      <c r="P6" s="12">
        <v>73.421499999999995</v>
      </c>
      <c r="Q6" s="12">
        <v>-15.226699999999999</v>
      </c>
      <c r="R6" s="12">
        <v>-54.419600000000003</v>
      </c>
      <c r="U6" t="s">
        <v>5</v>
      </c>
      <c r="V6">
        <f t="shared" si="0"/>
        <v>64.840953400000004</v>
      </c>
      <c r="W6">
        <f t="shared" si="1"/>
        <v>493.65687256788999</v>
      </c>
      <c r="Z6" t="s">
        <v>26</v>
      </c>
      <c r="AA6">
        <v>48.443163800000001</v>
      </c>
      <c r="AB6">
        <v>1016.64276845594</v>
      </c>
      <c r="AD6" t="s">
        <v>3</v>
      </c>
      <c r="AE6">
        <v>43.180367679999989</v>
      </c>
      <c r="AF6">
        <v>1119.6626159056318</v>
      </c>
    </row>
    <row r="7" spans="1:32" x14ac:dyDescent="0.25">
      <c r="A7" t="s">
        <v>3</v>
      </c>
      <c r="B7" s="3">
        <v>6.4000000000000001E-2</v>
      </c>
      <c r="D7" t="s">
        <v>33</v>
      </c>
      <c r="E7" s="14">
        <v>1.0852999999999999</v>
      </c>
      <c r="F7" s="14">
        <v>1.0415000000000001</v>
      </c>
      <c r="J7" t="s">
        <v>10</v>
      </c>
      <c r="K7" s="14">
        <v>1.0286999999999999</v>
      </c>
      <c r="L7" s="14">
        <v>1.0077</v>
      </c>
      <c r="N7" t="s">
        <v>10</v>
      </c>
      <c r="O7" s="12">
        <v>186.1234</v>
      </c>
      <c r="P7" s="12">
        <v>106.6181</v>
      </c>
      <c r="Q7" s="12">
        <v>-12.581300000000001</v>
      </c>
      <c r="R7" s="12">
        <v>-27.4589</v>
      </c>
      <c r="U7" t="s">
        <v>29</v>
      </c>
      <c r="V7">
        <f t="shared" si="0"/>
        <v>28.246970429999998</v>
      </c>
      <c r="W7">
        <f t="shared" si="1"/>
        <v>177.69180453547949</v>
      </c>
      <c r="Z7" t="s">
        <v>9</v>
      </c>
      <c r="AA7">
        <v>44.753745899999998</v>
      </c>
      <c r="AB7">
        <v>1531.6521996815998</v>
      </c>
      <c r="AD7" t="s">
        <v>26</v>
      </c>
      <c r="AE7">
        <v>48.443163800000001</v>
      </c>
      <c r="AF7">
        <v>1016.64276845594</v>
      </c>
    </row>
    <row r="8" spans="1:32" x14ac:dyDescent="0.25">
      <c r="A8" t="s">
        <v>33</v>
      </c>
      <c r="B8" s="3">
        <v>0.06</v>
      </c>
      <c r="D8" t="s">
        <v>41</v>
      </c>
      <c r="E8" s="14">
        <v>1.0826</v>
      </c>
      <c r="F8" s="14">
        <v>1.0851999999999999</v>
      </c>
      <c r="J8" t="s">
        <v>13</v>
      </c>
      <c r="K8" s="14">
        <v>0.9788</v>
      </c>
      <c r="L8" s="14">
        <v>0.99639999999999995</v>
      </c>
      <c r="N8" t="s">
        <v>13</v>
      </c>
      <c r="O8" s="12">
        <v>148.96180000000001</v>
      </c>
      <c r="P8" s="12">
        <v>75.265600000000006</v>
      </c>
      <c r="Q8" s="12">
        <v>-16.5321</v>
      </c>
      <c r="R8" s="12">
        <v>-35.567999999999998</v>
      </c>
      <c r="U8" t="s">
        <v>6</v>
      </c>
      <c r="V8">
        <f t="shared" si="0"/>
        <v>34.813958399999997</v>
      </c>
      <c r="W8">
        <f t="shared" si="1"/>
        <v>287.77392083231996</v>
      </c>
      <c r="Z8" t="s">
        <v>3</v>
      </c>
      <c r="AA8">
        <v>43.180367679999989</v>
      </c>
      <c r="AB8">
        <v>1119.6626159056318</v>
      </c>
      <c r="AD8" t="s">
        <v>5</v>
      </c>
      <c r="AE8">
        <v>42.390992650000001</v>
      </c>
      <c r="AF8">
        <v>943.36915043310012</v>
      </c>
    </row>
    <row r="9" spans="1:32" x14ac:dyDescent="0.25">
      <c r="A9" t="s">
        <v>11</v>
      </c>
      <c r="B9" s="3">
        <v>5.7999999999999996E-2</v>
      </c>
      <c r="D9" t="s">
        <v>12</v>
      </c>
      <c r="E9" s="14">
        <v>1.0652999999999999</v>
      </c>
      <c r="F9" s="14">
        <v>1.0526</v>
      </c>
      <c r="J9" t="s">
        <v>43</v>
      </c>
      <c r="K9" s="14">
        <v>0.98620000000000008</v>
      </c>
      <c r="L9" s="14">
        <v>0.9819</v>
      </c>
      <c r="N9" t="s">
        <v>43</v>
      </c>
      <c r="O9" s="12">
        <v>187.6893</v>
      </c>
      <c r="P9" s="12">
        <v>61.678699999999999</v>
      </c>
      <c r="Q9" s="12">
        <v>-27.541899999999998</v>
      </c>
      <c r="R9" s="12">
        <v>-61.169699999999999</v>
      </c>
      <c r="U9" t="s">
        <v>8</v>
      </c>
      <c r="V9">
        <f t="shared" si="0"/>
        <v>60.325558140000005</v>
      </c>
      <c r="W9">
        <f t="shared" si="1"/>
        <v>830.74024486803307</v>
      </c>
      <c r="Z9" t="s">
        <v>5</v>
      </c>
      <c r="AA9">
        <v>42.390992650000001</v>
      </c>
      <c r="AB9">
        <v>943.36915043310012</v>
      </c>
      <c r="AD9" t="s">
        <v>6</v>
      </c>
      <c r="AE9">
        <v>40.40162874</v>
      </c>
      <c r="AF9">
        <v>824.79925072709989</v>
      </c>
    </row>
    <row r="10" spans="1:32" x14ac:dyDescent="0.25">
      <c r="A10" t="s">
        <v>10</v>
      </c>
      <c r="B10" s="3">
        <v>5.7000000000000002E-2</v>
      </c>
      <c r="D10" t="s">
        <v>9</v>
      </c>
      <c r="E10" s="14">
        <v>1.0465</v>
      </c>
      <c r="F10" s="14">
        <v>1.0569999999999999</v>
      </c>
      <c r="J10" t="s">
        <v>21</v>
      </c>
      <c r="K10" s="14">
        <v>1.1375999999999999</v>
      </c>
      <c r="L10" s="14">
        <v>1.0703</v>
      </c>
      <c r="N10" t="s">
        <v>21</v>
      </c>
      <c r="O10" s="12">
        <v>204.76859999999999</v>
      </c>
      <c r="P10" s="12">
        <v>78.342699999999994</v>
      </c>
      <c r="Q10" s="12">
        <v>-30.809799999999999</v>
      </c>
      <c r="R10" s="12">
        <v>-60.276800000000001</v>
      </c>
      <c r="U10" t="s">
        <v>2</v>
      </c>
      <c r="V10">
        <f t="shared" si="0"/>
        <v>68.570887679999998</v>
      </c>
      <c r="W10">
        <f t="shared" si="1"/>
        <v>1056.3276676216319</v>
      </c>
      <c r="Z10" t="s">
        <v>6</v>
      </c>
      <c r="AA10">
        <v>40.40162874</v>
      </c>
      <c r="AB10">
        <v>824.79925072709989</v>
      </c>
      <c r="AD10" t="s">
        <v>27</v>
      </c>
      <c r="AE10">
        <v>31.586248799999996</v>
      </c>
      <c r="AF10">
        <v>803.37096922895989</v>
      </c>
    </row>
    <row r="11" spans="1:32" x14ac:dyDescent="0.25">
      <c r="A11" t="s">
        <v>9</v>
      </c>
      <c r="B11" s="3">
        <v>5.5E-2</v>
      </c>
      <c r="D11" t="s">
        <v>4</v>
      </c>
      <c r="E11" s="14">
        <v>1.0421</v>
      </c>
      <c r="F11" s="14">
        <v>1.0204</v>
      </c>
      <c r="J11" t="s">
        <v>11</v>
      </c>
      <c r="K11" s="14">
        <v>0.99280000000000002</v>
      </c>
      <c r="L11" s="14">
        <v>0.99309999999999998</v>
      </c>
      <c r="N11" t="s">
        <v>11</v>
      </c>
      <c r="O11" s="12">
        <v>162.49170000000001</v>
      </c>
      <c r="P11" s="12">
        <v>97.696100000000001</v>
      </c>
      <c r="Q11" s="12">
        <v>-16.111899999999999</v>
      </c>
      <c r="R11" s="12">
        <v>-27.542400000000001</v>
      </c>
      <c r="U11" t="s">
        <v>21</v>
      </c>
      <c r="V11">
        <f t="shared" si="0"/>
        <v>27.344094720000001</v>
      </c>
      <c r="W11">
        <f t="shared" si="1"/>
        <v>220.28265985958399</v>
      </c>
      <c r="Z11" t="s">
        <v>10</v>
      </c>
      <c r="AA11">
        <v>36.502429679999999</v>
      </c>
      <c r="AB11">
        <v>642.19089560320788</v>
      </c>
      <c r="AD11" t="s">
        <v>7</v>
      </c>
      <c r="AE11">
        <v>51.87232353000001</v>
      </c>
      <c r="AF11">
        <v>776.69986191174917</v>
      </c>
    </row>
    <row r="12" spans="1:32" x14ac:dyDescent="0.25">
      <c r="A12" t="s">
        <v>8</v>
      </c>
      <c r="B12" s="3">
        <v>5.2999999999999999E-2</v>
      </c>
      <c r="D12" t="s">
        <v>3</v>
      </c>
      <c r="E12" s="14">
        <v>1.0325</v>
      </c>
      <c r="F12" s="14">
        <v>0.97900000000000009</v>
      </c>
      <c r="J12" t="s">
        <v>35</v>
      </c>
      <c r="K12" s="14">
        <v>0.94340000000000002</v>
      </c>
      <c r="L12" s="14">
        <v>0.84489999999999998</v>
      </c>
      <c r="N12" t="s">
        <v>35</v>
      </c>
      <c r="O12" s="12">
        <v>169.6292</v>
      </c>
      <c r="P12" s="12">
        <v>82.940200000000004</v>
      </c>
      <c r="Q12" s="12">
        <v>-27.986599999999999</v>
      </c>
      <c r="R12" s="12">
        <v>-44.4482</v>
      </c>
      <c r="U12" t="s">
        <v>12</v>
      </c>
      <c r="V12">
        <f t="shared" si="0"/>
        <v>41.932431880000003</v>
      </c>
      <c r="W12">
        <f t="shared" si="1"/>
        <v>586.773099026404</v>
      </c>
      <c r="Z12" t="s">
        <v>21</v>
      </c>
      <c r="AA12">
        <v>34.231636000000002</v>
      </c>
      <c r="AB12">
        <v>519.74235255159999</v>
      </c>
      <c r="AD12" t="s">
        <v>10</v>
      </c>
      <c r="AE12">
        <v>36.502429679999999</v>
      </c>
      <c r="AF12">
        <v>642.19089560320788</v>
      </c>
    </row>
    <row r="13" spans="1:32" x14ac:dyDescent="0.25">
      <c r="A13" t="s">
        <v>4</v>
      </c>
      <c r="B13" s="3">
        <v>5.2999999999999999E-2</v>
      </c>
      <c r="D13" t="s">
        <v>10</v>
      </c>
      <c r="E13" s="14">
        <v>1.0286999999999999</v>
      </c>
      <c r="F13" s="14">
        <v>1.0077</v>
      </c>
      <c r="J13" t="s">
        <v>2</v>
      </c>
      <c r="K13" s="14">
        <v>0.96989999999999998</v>
      </c>
      <c r="L13" s="14">
        <v>0.99639999999999995</v>
      </c>
      <c r="N13" t="s">
        <v>2</v>
      </c>
      <c r="O13" s="12">
        <v>178.31630000000001</v>
      </c>
      <c r="P13" s="12">
        <v>95.715900000000005</v>
      </c>
      <c r="Q13" s="12">
        <v>-12.2921</v>
      </c>
      <c r="R13" s="12">
        <v>-29.338899999999999</v>
      </c>
      <c r="U13" t="s">
        <v>3</v>
      </c>
      <c r="V13">
        <f t="shared" si="0"/>
        <v>28.455799109999997</v>
      </c>
      <c r="W13">
        <f t="shared" si="1"/>
        <v>174.89076412001549</v>
      </c>
      <c r="Z13" t="s">
        <v>4</v>
      </c>
      <c r="AA13">
        <v>32.689354549999997</v>
      </c>
      <c r="AB13">
        <v>622.22551918197507</v>
      </c>
      <c r="AD13" t="s">
        <v>4</v>
      </c>
      <c r="AE13">
        <v>32.689354549999997</v>
      </c>
      <c r="AF13">
        <v>622.22551918197507</v>
      </c>
    </row>
    <row r="14" spans="1:32" x14ac:dyDescent="0.25">
      <c r="A14" t="s">
        <v>43</v>
      </c>
      <c r="B14" s="3">
        <v>5.2000000000000005E-2</v>
      </c>
      <c r="D14" t="s">
        <v>6</v>
      </c>
      <c r="E14" s="14">
        <v>1.0243</v>
      </c>
      <c r="F14" s="14">
        <v>1.0039</v>
      </c>
      <c r="J14" t="s">
        <v>34</v>
      </c>
      <c r="K14" s="14">
        <v>0.99309999999999998</v>
      </c>
      <c r="L14" s="14">
        <v>1.0084</v>
      </c>
      <c r="N14" t="s">
        <v>34</v>
      </c>
      <c r="O14" s="12">
        <v>220.35740000000001</v>
      </c>
      <c r="P14" s="12">
        <v>86.0304</v>
      </c>
      <c r="Q14" s="12">
        <v>-26.617799999999999</v>
      </c>
      <c r="R14" s="12">
        <v>-51.8185</v>
      </c>
      <c r="U14" t="s">
        <v>4</v>
      </c>
      <c r="V14">
        <f t="shared" si="0"/>
        <v>51.460952349999999</v>
      </c>
      <c r="W14">
        <f t="shared" si="1"/>
        <v>684.88866873091501</v>
      </c>
      <c r="Z14" t="s">
        <v>27</v>
      </c>
      <c r="AA14">
        <v>31.586248799999996</v>
      </c>
      <c r="AB14">
        <v>803.37096922895989</v>
      </c>
      <c r="AD14" t="s">
        <v>13</v>
      </c>
      <c r="AE14">
        <v>29.167292200000002</v>
      </c>
      <c r="AF14">
        <v>546.10796204825999</v>
      </c>
    </row>
    <row r="15" spans="1:32" x14ac:dyDescent="0.25">
      <c r="A15" t="s">
        <v>35</v>
      </c>
      <c r="B15" s="3">
        <v>5.0999999999999997E-2</v>
      </c>
      <c r="D15" t="s">
        <v>34</v>
      </c>
      <c r="E15" s="14">
        <v>0.99309999999999998</v>
      </c>
      <c r="F15" s="14">
        <v>1.0084</v>
      </c>
      <c r="J15" t="s">
        <v>6</v>
      </c>
      <c r="K15" s="14">
        <v>1.0243</v>
      </c>
      <c r="L15" s="14">
        <v>1.0039</v>
      </c>
      <c r="N15" t="s">
        <v>6</v>
      </c>
      <c r="O15" s="12">
        <v>195.6713</v>
      </c>
      <c r="P15" s="12">
        <v>103.633</v>
      </c>
      <c r="Q15" s="12">
        <v>-12.235099999999999</v>
      </c>
      <c r="R15" s="12">
        <v>-31.638999999999999</v>
      </c>
      <c r="U15" t="s">
        <v>26</v>
      </c>
      <c r="V15">
        <f t="shared" si="0"/>
        <v>32.407827699999999</v>
      </c>
      <c r="W15">
        <f t="shared" si="1"/>
        <v>198.25650634613498</v>
      </c>
      <c r="Z15" t="s">
        <v>13</v>
      </c>
      <c r="AA15">
        <v>29.167292200000002</v>
      </c>
      <c r="AB15">
        <v>546.10796204825999</v>
      </c>
      <c r="AD15" t="s">
        <v>21</v>
      </c>
      <c r="AE15">
        <v>34.231636000000002</v>
      </c>
      <c r="AF15">
        <v>519.74235255159999</v>
      </c>
    </row>
    <row r="16" spans="1:32" x14ac:dyDescent="0.25">
      <c r="A16" t="s">
        <v>34</v>
      </c>
      <c r="B16" s="3">
        <v>0.05</v>
      </c>
      <c r="D16" t="s">
        <v>11</v>
      </c>
      <c r="E16" s="14">
        <v>0.99280000000000002</v>
      </c>
      <c r="F16" s="14">
        <v>0.99309999999999998</v>
      </c>
      <c r="J16" t="s">
        <v>8</v>
      </c>
      <c r="K16" s="14">
        <v>0.89340000000000008</v>
      </c>
      <c r="L16" s="14">
        <v>0.9113</v>
      </c>
      <c r="N16" t="s">
        <v>8</v>
      </c>
      <c r="O16" s="12">
        <v>174.1969</v>
      </c>
      <c r="P16" s="12">
        <v>90.65</v>
      </c>
      <c r="Q16" s="12">
        <v>-13.387700000000001</v>
      </c>
      <c r="R16" s="12">
        <v>-33.889899999999997</v>
      </c>
      <c r="U16" t="s">
        <v>27</v>
      </c>
      <c r="V16">
        <f t="shared" si="0"/>
        <v>30.27723666</v>
      </c>
      <c r="W16">
        <f t="shared" si="1"/>
        <v>202.67128061654103</v>
      </c>
      <c r="Z16" t="s">
        <v>18</v>
      </c>
      <c r="AA16">
        <v>25.524206409999998</v>
      </c>
      <c r="AB16">
        <v>395.87278415717697</v>
      </c>
      <c r="AD16" t="s">
        <v>18</v>
      </c>
      <c r="AE16">
        <v>25.524206409999998</v>
      </c>
      <c r="AF16">
        <v>395.87278415717697</v>
      </c>
    </row>
    <row r="17" spans="1:32" x14ac:dyDescent="0.25">
      <c r="A17" t="s">
        <v>12</v>
      </c>
      <c r="B17" s="3">
        <v>4.4000000000000004E-2</v>
      </c>
      <c r="D17" t="s">
        <v>43</v>
      </c>
      <c r="E17" s="14">
        <v>0.98620000000000008</v>
      </c>
      <c r="F17" s="14">
        <v>0.9819</v>
      </c>
      <c r="J17" t="s">
        <v>3</v>
      </c>
      <c r="K17" s="14">
        <v>1.0325</v>
      </c>
      <c r="L17" s="14">
        <v>0.97900000000000009</v>
      </c>
      <c r="N17" t="s">
        <v>3</v>
      </c>
      <c r="O17" s="12">
        <v>179.01240000000001</v>
      </c>
      <c r="P17" s="12">
        <v>95.668800000000005</v>
      </c>
      <c r="Q17" s="12">
        <v>-13.6531</v>
      </c>
      <c r="R17" s="12">
        <v>-31.152200000000001</v>
      </c>
      <c r="U17" t="s">
        <v>18</v>
      </c>
      <c r="V17">
        <f t="shared" si="0"/>
        <v>32.164646499999996</v>
      </c>
      <c r="W17">
        <f t="shared" si="1"/>
        <v>219.573567564575</v>
      </c>
      <c r="Z17" t="s">
        <v>29</v>
      </c>
      <c r="AA17">
        <v>21.223311340000002</v>
      </c>
      <c r="AB17">
        <v>217.55591988407204</v>
      </c>
      <c r="AD17" t="s">
        <v>8</v>
      </c>
      <c r="AE17">
        <v>15.200124120000002</v>
      </c>
      <c r="AF17">
        <v>309.51100738108806</v>
      </c>
    </row>
    <row r="18" spans="1:32" x14ac:dyDescent="0.25">
      <c r="A18" t="s">
        <v>21</v>
      </c>
      <c r="B18" s="3">
        <v>4.2999999999999997E-2</v>
      </c>
      <c r="D18" t="s">
        <v>13</v>
      </c>
      <c r="E18" s="14">
        <v>0.9788</v>
      </c>
      <c r="F18" s="14">
        <v>0.99639999999999995</v>
      </c>
      <c r="J18" t="s">
        <v>4</v>
      </c>
      <c r="K18" s="14">
        <v>1.0421</v>
      </c>
      <c r="L18" s="14">
        <v>1.0204</v>
      </c>
      <c r="N18" t="s">
        <v>4</v>
      </c>
      <c r="O18" s="12">
        <v>175.94929999999999</v>
      </c>
      <c r="P18" s="12">
        <v>97.364199999999997</v>
      </c>
      <c r="Q18" s="12">
        <v>-6.3868</v>
      </c>
      <c r="R18" s="12">
        <v>-21.442299999999999</v>
      </c>
      <c r="U18" t="s">
        <v>11</v>
      </c>
      <c r="V18">
        <f t="shared" si="0"/>
        <v>22.345020829999999</v>
      </c>
      <c r="W18">
        <f t="shared" si="1"/>
        <v>71.356589518522</v>
      </c>
      <c r="Z18" t="s">
        <v>12</v>
      </c>
      <c r="AA18">
        <v>19.060794299999998</v>
      </c>
      <c r="AB18">
        <v>207.69594508994999</v>
      </c>
      <c r="AD18" t="s">
        <v>11</v>
      </c>
      <c r="AE18">
        <v>18.911175029999999</v>
      </c>
      <c r="AF18">
        <v>236.43696581257498</v>
      </c>
    </row>
    <row r="19" spans="1:32" x14ac:dyDescent="0.25">
      <c r="A19" t="s">
        <v>41</v>
      </c>
      <c r="B19" s="3">
        <v>4.2999999999999997E-2</v>
      </c>
      <c r="D19" t="s">
        <v>2</v>
      </c>
      <c r="E19" s="14">
        <v>0.96989999999999998</v>
      </c>
      <c r="F19" s="14">
        <v>0.99639999999999995</v>
      </c>
      <c r="J19" t="s">
        <v>9</v>
      </c>
      <c r="K19" s="14">
        <v>1.0465</v>
      </c>
      <c r="L19" s="14">
        <v>1.0569999999999999</v>
      </c>
      <c r="N19" t="s">
        <v>9</v>
      </c>
      <c r="O19" s="12">
        <v>173.8837</v>
      </c>
      <c r="P19" s="12">
        <v>100.5132</v>
      </c>
      <c r="Q19" s="12">
        <v>-9.9982000000000006</v>
      </c>
      <c r="R19" s="12">
        <v>-30.168900000000001</v>
      </c>
      <c r="U19" t="s">
        <v>24</v>
      </c>
      <c r="V19">
        <f t="shared" si="0"/>
        <v>31.57175385</v>
      </c>
      <c r="W19">
        <f>K19*((-(Q19))*(-(R19))/2)</f>
        <v>157.83035467153499</v>
      </c>
      <c r="Z19" t="s">
        <v>11</v>
      </c>
      <c r="AA19">
        <v>18.911175029999999</v>
      </c>
      <c r="AB19">
        <v>236.43696581257498</v>
      </c>
      <c r="AD19" t="s">
        <v>29</v>
      </c>
      <c r="AE19">
        <v>21.223311340000002</v>
      </c>
      <c r="AF19">
        <v>217.55591988407204</v>
      </c>
    </row>
    <row r="20" spans="1:32" x14ac:dyDescent="0.25">
      <c r="A20" t="s">
        <v>13</v>
      </c>
      <c r="B20" s="3">
        <v>3.7000000000000005E-2</v>
      </c>
      <c r="D20" t="s">
        <v>35</v>
      </c>
      <c r="E20" s="14">
        <v>0.94340000000000002</v>
      </c>
      <c r="F20" s="14">
        <v>0.84489999999999998</v>
      </c>
      <c r="J20" t="s">
        <v>18</v>
      </c>
      <c r="K20" s="14">
        <v>1.0972</v>
      </c>
      <c r="L20" s="14">
        <v>1.0398000000000001</v>
      </c>
      <c r="N20" t="s">
        <v>18</v>
      </c>
      <c r="O20" s="12">
        <v>196.27539999999999</v>
      </c>
      <c r="P20" s="12">
        <v>92.474299999999999</v>
      </c>
      <c r="Q20" s="12">
        <v>-22.450199999999999</v>
      </c>
      <c r="R20" s="12">
        <v>-43.6113</v>
      </c>
      <c r="U20" t="s">
        <v>7</v>
      </c>
      <c r="V20">
        <f t="shared" si="0"/>
        <v>47.850318359999996</v>
      </c>
      <c r="W20">
        <f t="shared" si="1"/>
        <v>537.12460862283592</v>
      </c>
      <c r="Z20" t="s">
        <v>8</v>
      </c>
      <c r="AA20">
        <v>15.200124120000002</v>
      </c>
      <c r="AB20">
        <v>309.51100738108806</v>
      </c>
      <c r="AD20" t="s">
        <v>12</v>
      </c>
      <c r="AE20">
        <v>19.060794299999998</v>
      </c>
      <c r="AF20">
        <v>207.69594508994999</v>
      </c>
    </row>
    <row r="21" spans="1:32" x14ac:dyDescent="0.25">
      <c r="A21" t="s">
        <v>44</v>
      </c>
      <c r="B21" s="3">
        <v>7.0000000000000001E-3</v>
      </c>
      <c r="D21" t="s">
        <v>8</v>
      </c>
      <c r="E21" s="14">
        <v>0.89340000000000008</v>
      </c>
      <c r="F21" s="14">
        <v>0.9113</v>
      </c>
      <c r="J21" t="s">
        <v>41</v>
      </c>
      <c r="K21" s="14">
        <v>1.0826</v>
      </c>
      <c r="L21" s="14">
        <v>1.0851999999999999</v>
      </c>
      <c r="N21" t="s">
        <v>41</v>
      </c>
      <c r="O21" s="12">
        <v>189.3828</v>
      </c>
      <c r="P21" s="12">
        <v>85.446100000000001</v>
      </c>
      <c r="Q21" s="12">
        <v>-26.165299999999998</v>
      </c>
      <c r="R21" s="12">
        <v>-45.112099999999998</v>
      </c>
      <c r="U21" t="s">
        <v>9</v>
      </c>
      <c r="V21">
        <f t="shared" si="0"/>
        <v>48.83835946</v>
      </c>
      <c r="W21">
        <f t="shared" si="1"/>
        <v>638.93516338936888</v>
      </c>
      <c r="Z21" t="s">
        <v>24</v>
      </c>
      <c r="AA21">
        <v>13.7409</v>
      </c>
      <c r="AB21">
        <v>-29.727063060000003</v>
      </c>
      <c r="AD21" t="s">
        <v>24</v>
      </c>
      <c r="AE21">
        <v>13.7409</v>
      </c>
      <c r="AF21">
        <v>-29.727063060000003</v>
      </c>
    </row>
    <row r="25" spans="1:32" x14ac:dyDescent="0.25">
      <c r="A25" s="2"/>
      <c r="B25"/>
      <c r="D25" s="2"/>
      <c r="F25"/>
    </row>
    <row r="26" spans="1:32" x14ac:dyDescent="0.25">
      <c r="A26" s="2"/>
      <c r="B26"/>
      <c r="D26" s="2"/>
      <c r="F26"/>
      <c r="Z26" s="1" t="s">
        <v>30</v>
      </c>
      <c r="AA26" s="1" t="s">
        <v>31</v>
      </c>
      <c r="AB26" s="1" t="s">
        <v>32</v>
      </c>
      <c r="AD26" s="1" t="s">
        <v>30</v>
      </c>
      <c r="AE26" s="1" t="s">
        <v>31</v>
      </c>
      <c r="AF26" s="1" t="s">
        <v>32</v>
      </c>
    </row>
    <row r="27" spans="1:32" x14ac:dyDescent="0.25">
      <c r="A27" s="11" t="s">
        <v>17</v>
      </c>
      <c r="B27" s="13" t="s">
        <v>28</v>
      </c>
      <c r="C27" s="13" t="s">
        <v>16</v>
      </c>
      <c r="D27" s="20" t="s">
        <v>23</v>
      </c>
      <c r="E27" s="20"/>
      <c r="F27" s="5"/>
      <c r="G27" s="21" t="s">
        <v>22</v>
      </c>
      <c r="H27" s="21"/>
      <c r="Z27" t="s">
        <v>25</v>
      </c>
      <c r="AA27">
        <v>63.168390390000006</v>
      </c>
      <c r="AB27">
        <v>660.41288784937217</v>
      </c>
      <c r="AD27" t="s">
        <v>9</v>
      </c>
      <c r="AE27">
        <v>44.753745899999998</v>
      </c>
      <c r="AF27">
        <v>765.82609984079977</v>
      </c>
    </row>
    <row r="28" spans="1:32" x14ac:dyDescent="0.25">
      <c r="A28" t="s">
        <v>10</v>
      </c>
      <c r="B28" s="12">
        <v>240.16159999999999</v>
      </c>
      <c r="C28" s="12">
        <v>107.3518</v>
      </c>
      <c r="D28" s="12">
        <v>-20.414999999999999</v>
      </c>
      <c r="E28" s="12">
        <v>-37.596899999999998</v>
      </c>
      <c r="F28" s="5"/>
      <c r="G28" t="s">
        <v>10</v>
      </c>
      <c r="H28" s="15">
        <v>188.3681</v>
      </c>
      <c r="Z28" t="s">
        <v>2</v>
      </c>
      <c r="AA28">
        <v>57.528658</v>
      </c>
      <c r="AB28">
        <v>700.38839968679997</v>
      </c>
      <c r="AD28" t="s">
        <v>2</v>
      </c>
      <c r="AE28">
        <v>57.528658</v>
      </c>
      <c r="AF28">
        <v>700.38839968679997</v>
      </c>
    </row>
    <row r="29" spans="1:32" x14ac:dyDescent="0.25">
      <c r="A29" t="s">
        <v>25</v>
      </c>
      <c r="B29" s="12">
        <v>233.0532</v>
      </c>
      <c r="C29" s="12">
        <v>82.703800000000001</v>
      </c>
      <c r="D29" s="12">
        <v>-20.909600000000001</v>
      </c>
      <c r="E29" s="12">
        <v>-58.257300000000001</v>
      </c>
      <c r="G29" t="s">
        <v>25</v>
      </c>
      <c r="H29" s="15">
        <v>185.02549999999999</v>
      </c>
      <c r="Z29" t="s">
        <v>7</v>
      </c>
      <c r="AA29">
        <v>51.87232353000001</v>
      </c>
      <c r="AB29">
        <v>388.34993095587453</v>
      </c>
      <c r="AD29" t="s">
        <v>25</v>
      </c>
      <c r="AE29">
        <v>63.168390390000006</v>
      </c>
      <c r="AF29">
        <v>660.41288784937217</v>
      </c>
    </row>
    <row r="30" spans="1:32" x14ac:dyDescent="0.25">
      <c r="A30" t="s">
        <v>6</v>
      </c>
      <c r="B30" s="12">
        <v>224.04150000000001</v>
      </c>
      <c r="C30" s="12">
        <v>103.9102</v>
      </c>
      <c r="D30" s="12">
        <v>-19.034500000000001</v>
      </c>
      <c r="E30" s="12">
        <v>-33.136699999999998</v>
      </c>
      <c r="G30" t="s">
        <v>26</v>
      </c>
      <c r="H30" s="15">
        <v>180.06829999999999</v>
      </c>
      <c r="Z30" t="s">
        <v>26</v>
      </c>
      <c r="AA30">
        <v>48.443163800000001</v>
      </c>
      <c r="AB30">
        <v>508.32138422796999</v>
      </c>
      <c r="AD30" t="s">
        <v>3</v>
      </c>
      <c r="AE30">
        <v>43.180367679999989</v>
      </c>
      <c r="AF30">
        <v>559.83130795281579</v>
      </c>
    </row>
    <row r="31" spans="1:32" x14ac:dyDescent="0.25">
      <c r="A31" t="s">
        <v>26</v>
      </c>
      <c r="B31" s="12">
        <v>222.71010000000001</v>
      </c>
      <c r="C31" s="12">
        <v>83.021799999999999</v>
      </c>
      <c r="D31" s="12">
        <v>-14.9733</v>
      </c>
      <c r="E31" s="12">
        <v>-44.225700000000003</v>
      </c>
      <c r="G31" t="s">
        <v>7</v>
      </c>
      <c r="H31" s="15">
        <v>178.82759999999999</v>
      </c>
      <c r="Z31" t="s">
        <v>9</v>
      </c>
      <c r="AA31">
        <v>44.753745899999998</v>
      </c>
      <c r="AB31">
        <v>765.82609984079977</v>
      </c>
      <c r="AD31" t="s">
        <v>26</v>
      </c>
      <c r="AE31">
        <v>48.443163800000001</v>
      </c>
      <c r="AF31">
        <v>508.32138422796999</v>
      </c>
    </row>
    <row r="32" spans="1:32" x14ac:dyDescent="0.25">
      <c r="A32" t="s">
        <v>7</v>
      </c>
      <c r="B32" s="12">
        <v>221.31450000000001</v>
      </c>
      <c r="C32" s="12">
        <v>98.600499999999997</v>
      </c>
      <c r="D32" s="12">
        <v>-22.254000000000001</v>
      </c>
      <c r="E32" s="12">
        <v>-39.016100000000002</v>
      </c>
      <c r="G32" t="s">
        <v>8</v>
      </c>
      <c r="H32" s="15">
        <v>174.26820000000001</v>
      </c>
      <c r="Z32" t="s">
        <v>3</v>
      </c>
      <c r="AA32">
        <v>43.180367679999989</v>
      </c>
      <c r="AB32">
        <v>559.83130795281579</v>
      </c>
      <c r="AD32" t="s">
        <v>5</v>
      </c>
      <c r="AE32">
        <v>42.390992650000001</v>
      </c>
      <c r="AF32">
        <v>471.68457521655006</v>
      </c>
    </row>
    <row r="33" spans="1:32" x14ac:dyDescent="0.25">
      <c r="A33" t="s">
        <v>2</v>
      </c>
      <c r="B33" s="12">
        <v>211.7251</v>
      </c>
      <c r="C33" s="12">
        <v>94.972999999999999</v>
      </c>
      <c r="D33" s="12">
        <v>-25.9299</v>
      </c>
      <c r="E33" s="12">
        <v>-40.674799999999998</v>
      </c>
      <c r="G33" t="s">
        <v>21</v>
      </c>
      <c r="H33" s="15">
        <v>172.57310000000001</v>
      </c>
      <c r="Z33" t="s">
        <v>5</v>
      </c>
      <c r="AA33">
        <v>42.390992650000001</v>
      </c>
      <c r="AB33">
        <v>471.68457521655006</v>
      </c>
      <c r="AD33" t="s">
        <v>6</v>
      </c>
      <c r="AE33">
        <v>40.40162874</v>
      </c>
      <c r="AF33">
        <v>412.39962536354994</v>
      </c>
    </row>
    <row r="34" spans="1:32" x14ac:dyDescent="0.25">
      <c r="A34" t="s">
        <v>8</v>
      </c>
      <c r="B34" s="12">
        <v>210.39340000000001</v>
      </c>
      <c r="C34" s="12">
        <v>92.510800000000003</v>
      </c>
      <c r="D34" s="12">
        <v>-20.9863</v>
      </c>
      <c r="E34" s="12">
        <v>-40.991</v>
      </c>
      <c r="G34" t="s">
        <v>5</v>
      </c>
      <c r="H34" s="15">
        <v>168.59460000000001</v>
      </c>
      <c r="Z34" t="s">
        <v>6</v>
      </c>
      <c r="AA34">
        <v>40.40162874</v>
      </c>
      <c r="AB34">
        <v>412.39962536354994</v>
      </c>
      <c r="AD34" t="s">
        <v>27</v>
      </c>
      <c r="AE34">
        <v>31.586248799999996</v>
      </c>
      <c r="AF34">
        <v>401.68548461447995</v>
      </c>
    </row>
    <row r="35" spans="1:32" x14ac:dyDescent="0.25">
      <c r="A35" t="s">
        <v>5</v>
      </c>
      <c r="B35" s="12">
        <v>208.52029999999999</v>
      </c>
      <c r="C35" s="12">
        <v>101.45399999999999</v>
      </c>
      <c r="D35" s="12">
        <v>-18.723299999999998</v>
      </c>
      <c r="E35" s="12">
        <v>-32.253999999999998</v>
      </c>
      <c r="G35" t="s">
        <v>12</v>
      </c>
      <c r="H35" s="15">
        <v>164.9127</v>
      </c>
      <c r="Z35" t="s">
        <v>10</v>
      </c>
      <c r="AA35">
        <v>36.502429679999999</v>
      </c>
      <c r="AB35">
        <v>321.09544780160394</v>
      </c>
      <c r="AD35" t="s">
        <v>7</v>
      </c>
      <c r="AE35">
        <v>51.87232353000001</v>
      </c>
      <c r="AF35">
        <v>388.34993095587453</v>
      </c>
    </row>
    <row r="36" spans="1:32" x14ac:dyDescent="0.25">
      <c r="A36" t="s">
        <v>21</v>
      </c>
      <c r="B36" s="12">
        <v>207.3502</v>
      </c>
      <c r="C36" s="12">
        <v>72.156400000000005</v>
      </c>
      <c r="D36" s="12">
        <v>-24.3492</v>
      </c>
      <c r="E36" s="12">
        <v>-51.023200000000003</v>
      </c>
      <c r="G36" t="s">
        <v>11</v>
      </c>
      <c r="H36" s="15">
        <v>163.6489</v>
      </c>
      <c r="Z36" t="s">
        <v>21</v>
      </c>
      <c r="AA36">
        <v>34.231636000000002</v>
      </c>
      <c r="AB36">
        <v>259.8711762758</v>
      </c>
      <c r="AD36" t="s">
        <v>10</v>
      </c>
      <c r="AE36">
        <v>36.502429679999999</v>
      </c>
      <c r="AF36">
        <v>321.09544780160394</v>
      </c>
    </row>
    <row r="37" spans="1:32" x14ac:dyDescent="0.25">
      <c r="A37" t="s">
        <v>3</v>
      </c>
      <c r="B37" s="12">
        <v>203.5121</v>
      </c>
      <c r="C37" s="12">
        <v>98.546000000000006</v>
      </c>
      <c r="D37" s="12">
        <v>-25.434200000000001</v>
      </c>
      <c r="E37" s="12">
        <v>-35.570099999999996</v>
      </c>
      <c r="G37" t="s">
        <v>2</v>
      </c>
      <c r="H37" s="15">
        <v>160.2561</v>
      </c>
      <c r="Z37" t="s">
        <v>4</v>
      </c>
      <c r="AA37">
        <v>32.689354549999997</v>
      </c>
      <c r="AB37">
        <v>311.11275959098748</v>
      </c>
      <c r="AD37" t="s">
        <v>4</v>
      </c>
      <c r="AE37">
        <v>32.689354549999997</v>
      </c>
      <c r="AF37">
        <v>311.11275959098748</v>
      </c>
    </row>
    <row r="38" spans="1:32" x14ac:dyDescent="0.25">
      <c r="A38" t="s">
        <v>12</v>
      </c>
      <c r="B38" s="12">
        <v>202.90360000000001</v>
      </c>
      <c r="C38" s="12">
        <v>94.757400000000004</v>
      </c>
      <c r="D38" s="12">
        <v>-17.5931</v>
      </c>
      <c r="E38" s="12">
        <v>-32.6556</v>
      </c>
      <c r="G38" t="s">
        <v>3</v>
      </c>
      <c r="H38" s="15">
        <v>156.32810000000001</v>
      </c>
      <c r="Z38" t="s">
        <v>27</v>
      </c>
      <c r="AA38">
        <v>31.586248799999996</v>
      </c>
      <c r="AB38">
        <v>401.68548461447995</v>
      </c>
      <c r="AD38" t="s">
        <v>13</v>
      </c>
      <c r="AE38">
        <v>29.167292200000002</v>
      </c>
      <c r="AF38">
        <v>273.05398102413</v>
      </c>
    </row>
    <row r="39" spans="1:32" x14ac:dyDescent="0.25">
      <c r="A39" t="s">
        <v>11</v>
      </c>
      <c r="B39" s="12">
        <v>189.41200000000001</v>
      </c>
      <c r="C39" s="12">
        <v>94.838499999999996</v>
      </c>
      <c r="D39" s="12">
        <v>-15.1831</v>
      </c>
      <c r="E39" s="12">
        <v>-27.46</v>
      </c>
      <c r="G39" t="s">
        <v>6</v>
      </c>
      <c r="H39" s="15">
        <v>152.57339999999999</v>
      </c>
      <c r="Z39" t="s">
        <v>13</v>
      </c>
      <c r="AA39">
        <v>29.167292200000002</v>
      </c>
      <c r="AB39">
        <v>273.05398102413</v>
      </c>
      <c r="AD39" t="s">
        <v>21</v>
      </c>
      <c r="AE39">
        <v>34.231636000000002</v>
      </c>
      <c r="AF39">
        <v>259.8711762758</v>
      </c>
    </row>
    <row r="40" spans="1:32" x14ac:dyDescent="0.25">
      <c r="A40" t="s">
        <v>4</v>
      </c>
      <c r="B40" s="12">
        <v>185.5958</v>
      </c>
      <c r="C40" s="12">
        <v>99.421800000000005</v>
      </c>
      <c r="D40" s="12">
        <v>-15.5097</v>
      </c>
      <c r="E40" s="12">
        <v>-25.957699999999999</v>
      </c>
      <c r="G40" t="s">
        <v>18</v>
      </c>
      <c r="H40" s="15">
        <v>145.3356</v>
      </c>
      <c r="Z40" t="s">
        <v>18</v>
      </c>
      <c r="AA40">
        <v>25.524206409999998</v>
      </c>
      <c r="AB40">
        <v>197.93639207858848</v>
      </c>
      <c r="AD40" t="s">
        <v>18</v>
      </c>
      <c r="AE40">
        <v>25.524206409999998</v>
      </c>
      <c r="AF40">
        <v>197.93639207858848</v>
      </c>
    </row>
    <row r="41" spans="1:32" x14ac:dyDescent="0.25">
      <c r="A41" t="s">
        <v>9</v>
      </c>
      <c r="B41" s="12">
        <v>185.27959999999999</v>
      </c>
      <c r="C41" s="12">
        <v>103.9067</v>
      </c>
      <c r="D41" s="12">
        <v>-12.5025</v>
      </c>
      <c r="E41" s="12">
        <v>-20.688300000000002</v>
      </c>
      <c r="G41" t="s">
        <v>27</v>
      </c>
      <c r="H41" s="15">
        <v>142.12289999999999</v>
      </c>
      <c r="Z41" t="s">
        <v>29</v>
      </c>
      <c r="AA41">
        <v>21.223311340000002</v>
      </c>
      <c r="AB41">
        <v>108.77795994203601</v>
      </c>
      <c r="AD41" t="s">
        <v>8</v>
      </c>
      <c r="AE41">
        <v>15.200124120000002</v>
      </c>
      <c r="AF41">
        <v>154.755503690544</v>
      </c>
    </row>
    <row r="42" spans="1:32" x14ac:dyDescent="0.25">
      <c r="A42" t="s">
        <v>18</v>
      </c>
      <c r="B42" s="12">
        <v>185.06880000000001</v>
      </c>
      <c r="C42" s="12">
        <v>82.805599999999998</v>
      </c>
      <c r="D42" s="12">
        <v>-34.223999999999997</v>
      </c>
      <c r="E42" s="12">
        <v>-45.643799999999999</v>
      </c>
      <c r="G42" t="s">
        <v>4</v>
      </c>
      <c r="H42" s="15">
        <v>141.46019999999999</v>
      </c>
      <c r="Z42" t="s">
        <v>12</v>
      </c>
      <c r="AA42">
        <v>19.060794299999998</v>
      </c>
      <c r="AB42">
        <v>103.84797254497499</v>
      </c>
      <c r="AD42" t="s">
        <v>11</v>
      </c>
      <c r="AE42">
        <v>18.911175029999999</v>
      </c>
      <c r="AF42">
        <v>118.21848290628749</v>
      </c>
    </row>
    <row r="43" spans="1:32" x14ac:dyDescent="0.25">
      <c r="A43" t="s">
        <v>24</v>
      </c>
      <c r="B43" s="12">
        <v>167.67490000000001</v>
      </c>
      <c r="C43" s="12">
        <v>74.382199999999997</v>
      </c>
      <c r="D43" s="12">
        <v>-10.8965</v>
      </c>
      <c r="E43" s="12">
        <v>-28.836300000000001</v>
      </c>
      <c r="G43" t="s">
        <v>9</v>
      </c>
      <c r="H43" s="15">
        <v>135.41460000000001</v>
      </c>
      <c r="Z43" t="s">
        <v>11</v>
      </c>
      <c r="AA43">
        <v>18.911175029999999</v>
      </c>
      <c r="AB43">
        <v>118.21848290628749</v>
      </c>
      <c r="AD43" t="s">
        <v>29</v>
      </c>
      <c r="AE43">
        <v>21.223311340000002</v>
      </c>
      <c r="AF43">
        <v>108.77795994203601</v>
      </c>
    </row>
    <row r="44" spans="1:32" x14ac:dyDescent="0.25">
      <c r="A44" t="s">
        <v>13</v>
      </c>
      <c r="B44" s="12">
        <v>159.52379999999999</v>
      </c>
      <c r="C44" s="12">
        <v>81.895700000000005</v>
      </c>
      <c r="D44" s="12">
        <v>-20.362400000000001</v>
      </c>
      <c r="E44" s="12">
        <v>-25.824200000000001</v>
      </c>
      <c r="G44" t="s">
        <v>29</v>
      </c>
      <c r="H44" s="15">
        <v>133.49709999999999</v>
      </c>
      <c r="Z44" t="s">
        <v>8</v>
      </c>
      <c r="AA44">
        <v>15.200124120000002</v>
      </c>
      <c r="AB44">
        <v>154.755503690544</v>
      </c>
      <c r="AD44" t="s">
        <v>12</v>
      </c>
      <c r="AE44">
        <v>19.060794299999998</v>
      </c>
      <c r="AF44">
        <v>103.84797254497499</v>
      </c>
    </row>
    <row r="45" spans="1:32" x14ac:dyDescent="0.25">
      <c r="A45" t="s">
        <v>27</v>
      </c>
      <c r="B45" s="12">
        <v>142.12289999999999</v>
      </c>
      <c r="C45" s="12">
        <v>57.335500000000003</v>
      </c>
      <c r="D45" s="12">
        <v>-10.2508</v>
      </c>
      <c r="E45" s="12">
        <v>-27.150200000000002</v>
      </c>
      <c r="G45" t="s">
        <v>13</v>
      </c>
      <c r="H45" s="15">
        <v>127.86360000000001</v>
      </c>
      <c r="Z45" t="s">
        <v>24</v>
      </c>
      <c r="AA45">
        <v>13.7409</v>
      </c>
      <c r="AB45">
        <v>-14.863531530000001</v>
      </c>
      <c r="AD45" t="s">
        <v>24</v>
      </c>
      <c r="AE45">
        <v>13.7409</v>
      </c>
      <c r="AF45">
        <v>-14.863531530000001</v>
      </c>
    </row>
    <row r="46" spans="1:32" x14ac:dyDescent="0.25">
      <c r="A46" t="s">
        <v>29</v>
      </c>
      <c r="B46" s="12">
        <v>133.49709999999999</v>
      </c>
      <c r="C46" s="12">
        <v>64.091499999999996</v>
      </c>
      <c r="D46" s="12">
        <v>2.1634000000000002</v>
      </c>
      <c r="E46" s="12">
        <v>-13.7409</v>
      </c>
      <c r="G46" t="s">
        <v>24</v>
      </c>
      <c r="H46" s="15">
        <v>120.04130000000001</v>
      </c>
    </row>
    <row r="47" spans="1:32" x14ac:dyDescent="0.25">
      <c r="A47" s="2"/>
      <c r="B47"/>
      <c r="D47" s="2"/>
      <c r="F47"/>
    </row>
    <row r="48" spans="1:32" x14ac:dyDescent="0.25">
      <c r="A48" s="2"/>
      <c r="B48"/>
      <c r="D48" s="2"/>
      <c r="F48"/>
    </row>
    <row r="49" spans="1:6" x14ac:dyDescent="0.25">
      <c r="A49" s="2"/>
      <c r="B49"/>
      <c r="D49" s="2"/>
      <c r="F49"/>
    </row>
    <row r="50" spans="1:6" x14ac:dyDescent="0.25">
      <c r="A50" s="2"/>
      <c r="B50"/>
      <c r="D50" s="2"/>
      <c r="F50"/>
    </row>
  </sheetData>
  <sortState xmlns:xlrd2="http://schemas.microsoft.com/office/spreadsheetml/2017/richdata2" ref="N3:R21">
    <sortCondition ref="N3:N21"/>
  </sortState>
  <mergeCells count="3">
    <mergeCell ref="Q2:R2"/>
    <mergeCell ref="D27:E27"/>
    <mergeCell ref="G27:H27"/>
  </mergeCells>
  <conditionalFormatting sqref="B3:B21">
    <cfRule type="colorScale" priority="12">
      <colorScale>
        <cfvo type="min"/>
        <cfvo type="max"/>
        <color rgb="FFFF7128"/>
        <color rgb="FF92D050"/>
      </colorScale>
    </cfRule>
  </conditionalFormatting>
  <conditionalFormatting sqref="D28:D46">
    <cfRule type="cellIs" dxfId="49" priority="29" operator="between">
      <formula>-30</formula>
      <formula>-20</formula>
    </cfRule>
    <cfRule type="cellIs" dxfId="48" priority="30" operator="between">
      <formula>-40</formula>
      <formula>-30</formula>
    </cfRule>
    <cfRule type="cellIs" dxfId="47" priority="31" operator="lessThanOrEqual">
      <formula>-40</formula>
    </cfRule>
  </conditionalFormatting>
  <conditionalFormatting sqref="E3:E21">
    <cfRule type="colorScale" priority="13">
      <colorScale>
        <cfvo type="min"/>
        <cfvo type="percentile" val="50"/>
        <cfvo type="max"/>
        <color rgb="FF00B050"/>
        <color rgb="FFFFEB84"/>
        <color rgb="FFFF0000"/>
      </colorScale>
    </cfRule>
    <cfRule type="cellIs" dxfId="46" priority="14" operator="greaterThan">
      <formula>120</formula>
    </cfRule>
    <cfRule type="cellIs" dxfId="45" priority="15" operator="between">
      <formula>105</formula>
      <formula>120</formula>
    </cfRule>
    <cfRule type="colorScale" priority="16">
      <colorScale>
        <cfvo type="min"/>
        <cfvo type="max"/>
        <color rgb="FF92D050"/>
        <color rgb="FFFF0000"/>
      </colorScale>
    </cfRule>
  </conditionalFormatting>
  <conditionalFormatting sqref="E28:E46">
    <cfRule type="cellIs" dxfId="44" priority="32" operator="between">
      <formula>-40</formula>
      <formula>-30</formula>
    </cfRule>
    <cfRule type="cellIs" dxfId="43" priority="33" operator="between">
      <formula>-60</formula>
      <formula>-40</formula>
    </cfRule>
    <cfRule type="cellIs" dxfId="42" priority="34" operator="lessThanOrEqual">
      <formula>-60</formula>
    </cfRule>
  </conditionalFormatting>
  <conditionalFormatting sqref="F3:F21">
    <cfRule type="colorScale" priority="17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K3:K21">
    <cfRule type="colorScale" priority="7">
      <colorScale>
        <cfvo type="min"/>
        <cfvo type="percentile" val="50"/>
        <cfvo type="max"/>
        <color rgb="FF00B050"/>
        <color rgb="FFFFEB84"/>
        <color rgb="FFFF0000"/>
      </colorScale>
    </cfRule>
    <cfRule type="cellIs" dxfId="41" priority="8" operator="greaterThan">
      <formula>120</formula>
    </cfRule>
    <cfRule type="cellIs" dxfId="40" priority="9" operator="between">
      <formula>105</formula>
      <formula>120</formula>
    </cfRule>
    <cfRule type="colorScale" priority="10">
      <colorScale>
        <cfvo type="min"/>
        <cfvo type="max"/>
        <color rgb="FF92D050"/>
        <color rgb="FFFF0000"/>
      </colorScale>
    </cfRule>
  </conditionalFormatting>
  <conditionalFormatting sqref="L3:L21">
    <cfRule type="colorScale" priority="11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Q3:Q21">
    <cfRule type="cellIs" dxfId="39" priority="1" operator="between">
      <formula>-30</formula>
      <formula>-20</formula>
    </cfRule>
    <cfRule type="cellIs" dxfId="38" priority="2" operator="between">
      <formula>-40</formula>
      <formula>-30</formula>
    </cfRule>
    <cfRule type="cellIs" dxfId="37" priority="3" operator="lessThanOrEqual">
      <formula>-40</formula>
    </cfRule>
  </conditionalFormatting>
  <conditionalFormatting sqref="R3:R21">
    <cfRule type="cellIs" dxfId="36" priority="4" operator="between">
      <formula>-40</formula>
      <formula>-30</formula>
    </cfRule>
    <cfRule type="cellIs" dxfId="35" priority="5" operator="between">
      <formula>-60</formula>
      <formula>-40</formula>
    </cfRule>
    <cfRule type="cellIs" dxfId="34" priority="6" operator="lessThanOrEqual">
      <formula>-60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02598-8655-4FCA-ABA5-7D5F04786792}">
  <dimension ref="A1:AF50"/>
  <sheetViews>
    <sheetView topLeftCell="M1" workbookViewId="0">
      <selection activeCell="AD14" sqref="AD14"/>
    </sheetView>
  </sheetViews>
  <sheetFormatPr defaultRowHeight="13.2" x14ac:dyDescent="0.25"/>
  <cols>
    <col min="1" max="1" width="20.33203125" customWidth="1"/>
    <col min="2" max="2" width="22.109375" style="2" customWidth="1"/>
    <col min="4" max="4" width="19.21875" customWidth="1"/>
    <col min="5" max="6" width="13.5546875" style="2" customWidth="1"/>
    <col min="7" max="7" width="7.88671875" customWidth="1"/>
    <col min="8" max="8" width="14.33203125" customWidth="1"/>
    <col min="10" max="10" width="11.109375" customWidth="1"/>
    <col min="21" max="21" width="11.77734375" customWidth="1"/>
    <col min="26" max="26" width="11.6640625" customWidth="1"/>
  </cols>
  <sheetData>
    <row r="1" spans="1:32" x14ac:dyDescent="0.25">
      <c r="B1" s="3"/>
      <c r="E1" s="3"/>
      <c r="F1" s="3"/>
    </row>
    <row r="2" spans="1:32" s="1" customFormat="1" ht="52.8" x14ac:dyDescent="0.25">
      <c r="A2" s="8" t="s">
        <v>0</v>
      </c>
      <c r="B2" s="9" t="s">
        <v>1</v>
      </c>
      <c r="C2" s="8"/>
      <c r="D2" s="8" t="s">
        <v>0</v>
      </c>
      <c r="E2" s="10" t="s">
        <v>19</v>
      </c>
      <c r="F2" s="10" t="s">
        <v>20</v>
      </c>
      <c r="J2" s="8" t="s">
        <v>0</v>
      </c>
      <c r="K2" s="10" t="s">
        <v>19</v>
      </c>
      <c r="L2" s="10" t="s">
        <v>20</v>
      </c>
      <c r="N2" s="11" t="s">
        <v>17</v>
      </c>
      <c r="O2" s="13" t="s">
        <v>28</v>
      </c>
      <c r="P2" s="13" t="s">
        <v>16</v>
      </c>
      <c r="Q2" s="20" t="s">
        <v>23</v>
      </c>
      <c r="R2" s="20"/>
      <c r="U2" s="11" t="s">
        <v>17</v>
      </c>
      <c r="Z2" s="1" t="s">
        <v>17</v>
      </c>
      <c r="AD2" s="1" t="s">
        <v>30</v>
      </c>
      <c r="AE2" s="1" t="s">
        <v>31</v>
      </c>
      <c r="AF2" s="1" t="s">
        <v>32</v>
      </c>
    </row>
    <row r="3" spans="1:32" x14ac:dyDescent="0.25">
      <c r="A3" t="s">
        <v>5</v>
      </c>
      <c r="B3" s="3">
        <v>7.2999999999999995E-2</v>
      </c>
      <c r="D3" t="s">
        <v>44</v>
      </c>
      <c r="E3" s="14">
        <v>1.1915</v>
      </c>
      <c r="F3" s="14">
        <v>1.1613</v>
      </c>
      <c r="J3" t="s">
        <v>33</v>
      </c>
      <c r="K3" s="14">
        <v>1.0852999999999999</v>
      </c>
      <c r="L3" s="14">
        <v>1.0415000000000001</v>
      </c>
      <c r="N3" t="s">
        <v>33</v>
      </c>
      <c r="O3" s="12">
        <v>189.8817</v>
      </c>
      <c r="P3" s="12">
        <v>92.9084</v>
      </c>
      <c r="Q3" s="12">
        <v>-13.129799999999999</v>
      </c>
      <c r="R3" s="12">
        <v>-34.090200000000003</v>
      </c>
      <c r="U3" t="s">
        <v>33</v>
      </c>
      <c r="V3">
        <f>K3*(-(R3))</f>
        <v>36.99809406</v>
      </c>
      <c r="W3">
        <f>K3*((-(Q3))*(-(R3))/2)</f>
        <v>242.888787694494</v>
      </c>
      <c r="Z3" t="s">
        <v>21</v>
      </c>
      <c r="AA3">
        <v>68.570887679999998</v>
      </c>
      <c r="AB3">
        <v>1056.3276676216319</v>
      </c>
      <c r="AD3" t="s">
        <v>9</v>
      </c>
      <c r="AE3">
        <v>44.753745899999998</v>
      </c>
      <c r="AF3">
        <v>1531.6521996815998</v>
      </c>
    </row>
    <row r="4" spans="1:32" x14ac:dyDescent="0.25">
      <c r="A4" t="s">
        <v>2</v>
      </c>
      <c r="B4" s="3">
        <v>6.8000000000000005E-2</v>
      </c>
      <c r="D4" t="s">
        <v>21</v>
      </c>
      <c r="E4" s="14">
        <v>1.1375999999999999</v>
      </c>
      <c r="F4" s="14">
        <v>1.0703</v>
      </c>
      <c r="J4" t="s">
        <v>12</v>
      </c>
      <c r="K4" s="14">
        <v>1.0652999999999999</v>
      </c>
      <c r="L4" s="14">
        <v>1.0526</v>
      </c>
      <c r="N4" t="s">
        <v>12</v>
      </c>
      <c r="O4" s="12">
        <v>210.5668</v>
      </c>
      <c r="P4" s="12">
        <v>96.992500000000007</v>
      </c>
      <c r="Q4" s="12">
        <v>-17.8933</v>
      </c>
      <c r="R4" s="12">
        <v>-41.105899999999998</v>
      </c>
      <c r="U4" t="s">
        <v>12</v>
      </c>
      <c r="V4">
        <f>K4*(-(R4))</f>
        <v>43.790115269999994</v>
      </c>
      <c r="W4">
        <f t="shared" ref="W4:W21" si="0">K4*((-(Q4))*(-(R4))/2)</f>
        <v>391.77483478034543</v>
      </c>
      <c r="Z4" t="s">
        <v>43</v>
      </c>
      <c r="AA4">
        <v>60.325558140000005</v>
      </c>
      <c r="AB4">
        <v>830.74024486803307</v>
      </c>
      <c r="AD4" t="s">
        <v>2</v>
      </c>
      <c r="AE4">
        <v>57.528658</v>
      </c>
      <c r="AF4">
        <v>1400.7767993736002</v>
      </c>
    </row>
    <row r="5" spans="1:32" x14ac:dyDescent="0.25">
      <c r="A5" t="s">
        <v>6</v>
      </c>
      <c r="B5" s="3">
        <v>6.7000000000000004E-2</v>
      </c>
      <c r="D5" t="s">
        <v>5</v>
      </c>
      <c r="E5" s="14">
        <v>1.0992</v>
      </c>
      <c r="F5" s="14">
        <v>1.1091</v>
      </c>
      <c r="J5" t="s">
        <v>5</v>
      </c>
      <c r="K5" s="14">
        <v>1.0992</v>
      </c>
      <c r="L5" s="14">
        <v>1.1091</v>
      </c>
      <c r="N5" t="s">
        <v>5</v>
      </c>
      <c r="O5" s="12">
        <v>178.25239999999999</v>
      </c>
      <c r="P5" s="12">
        <v>98.659199999999998</v>
      </c>
      <c r="Q5" s="12">
        <v>-12.4735</v>
      </c>
      <c r="R5" s="12">
        <v>-31.005700000000001</v>
      </c>
      <c r="U5" t="s">
        <v>5</v>
      </c>
      <c r="V5">
        <f t="shared" ref="V5:V20" si="1">K5*(-(R5))</f>
        <v>34.081465440000002</v>
      </c>
      <c r="W5">
        <f t="shared" si="0"/>
        <v>212.55757958292</v>
      </c>
      <c r="Z5" t="s">
        <v>34</v>
      </c>
      <c r="AA5">
        <v>51.460952349999999</v>
      </c>
      <c r="AB5">
        <v>684.88866873091501</v>
      </c>
      <c r="AD5" t="s">
        <v>25</v>
      </c>
      <c r="AE5">
        <v>63.168390390000006</v>
      </c>
      <c r="AF5">
        <v>1320.8257756987441</v>
      </c>
    </row>
    <row r="6" spans="1:32" x14ac:dyDescent="0.25">
      <c r="A6" t="s">
        <v>18</v>
      </c>
      <c r="B6" s="3">
        <v>6.5000000000000002E-2</v>
      </c>
      <c r="D6" t="s">
        <v>18</v>
      </c>
      <c r="E6" s="14">
        <v>1.0972</v>
      </c>
      <c r="F6" s="14">
        <v>1.0398000000000001</v>
      </c>
      <c r="J6" t="s">
        <v>44</v>
      </c>
      <c r="K6" s="14">
        <v>1.1915</v>
      </c>
      <c r="L6" s="14">
        <v>1.1613</v>
      </c>
      <c r="N6" t="s">
        <v>44</v>
      </c>
      <c r="O6" s="12">
        <v>240.29650000000001</v>
      </c>
      <c r="P6" s="12">
        <v>73.421499999999995</v>
      </c>
      <c r="Q6" s="12">
        <v>-15.226699999999999</v>
      </c>
      <c r="R6" s="12">
        <v>-54.419600000000003</v>
      </c>
      <c r="U6" t="s">
        <v>44</v>
      </c>
      <c r="V6">
        <f t="shared" si="1"/>
        <v>64.840953400000004</v>
      </c>
      <c r="W6">
        <f t="shared" si="0"/>
        <v>493.65687256788999</v>
      </c>
      <c r="Z6" t="s">
        <v>41</v>
      </c>
      <c r="AA6">
        <v>48.83835946</v>
      </c>
      <c r="AB6">
        <v>638.93516338936888</v>
      </c>
      <c r="AD6" t="s">
        <v>3</v>
      </c>
      <c r="AE6">
        <v>43.180367679999989</v>
      </c>
      <c r="AF6">
        <v>1119.6626159056318</v>
      </c>
    </row>
    <row r="7" spans="1:32" x14ac:dyDescent="0.25">
      <c r="A7" t="s">
        <v>3</v>
      </c>
      <c r="B7" s="3">
        <v>6.4000000000000001E-2</v>
      </c>
      <c r="D7" t="s">
        <v>33</v>
      </c>
      <c r="E7" s="14">
        <v>1.0852999999999999</v>
      </c>
      <c r="F7" s="14">
        <v>1.0415000000000001</v>
      </c>
      <c r="J7" t="s">
        <v>10</v>
      </c>
      <c r="K7" s="14">
        <v>1.0286999999999999</v>
      </c>
      <c r="L7" s="14">
        <v>1.0077</v>
      </c>
      <c r="N7" t="s">
        <v>10</v>
      </c>
      <c r="O7" s="12">
        <v>186.1234</v>
      </c>
      <c r="P7" s="12">
        <v>106.6181</v>
      </c>
      <c r="Q7" s="12">
        <v>-12.581300000000001</v>
      </c>
      <c r="R7" s="12">
        <v>-27.4589</v>
      </c>
      <c r="U7" t="s">
        <v>10</v>
      </c>
      <c r="V7">
        <f t="shared" si="1"/>
        <v>28.246970429999998</v>
      </c>
      <c r="W7">
        <f t="shared" si="0"/>
        <v>177.69180453547949</v>
      </c>
      <c r="Z7" t="s">
        <v>35</v>
      </c>
      <c r="AA7">
        <v>41.932431880000003</v>
      </c>
      <c r="AB7">
        <v>586.773099026404</v>
      </c>
      <c r="AD7" t="s">
        <v>26</v>
      </c>
      <c r="AE7">
        <v>48.443163800000001</v>
      </c>
      <c r="AF7">
        <v>1016.64276845594</v>
      </c>
    </row>
    <row r="8" spans="1:32" x14ac:dyDescent="0.25">
      <c r="A8" t="s">
        <v>33</v>
      </c>
      <c r="B8" s="3">
        <v>0.06</v>
      </c>
      <c r="D8" t="s">
        <v>41</v>
      </c>
      <c r="E8" s="14">
        <v>1.0826</v>
      </c>
      <c r="F8" s="14">
        <v>1.0851999999999999</v>
      </c>
      <c r="J8" t="s">
        <v>13</v>
      </c>
      <c r="K8" s="14">
        <v>0.9788</v>
      </c>
      <c r="L8" s="14">
        <v>0.99639999999999995</v>
      </c>
      <c r="N8" t="s">
        <v>13</v>
      </c>
      <c r="O8" s="12">
        <v>148.96180000000001</v>
      </c>
      <c r="P8" s="12">
        <v>75.265600000000006</v>
      </c>
      <c r="Q8" s="12">
        <v>-16.5321</v>
      </c>
      <c r="R8" s="12">
        <v>-35.567999999999998</v>
      </c>
      <c r="U8" t="s">
        <v>13</v>
      </c>
      <c r="V8">
        <f t="shared" si="1"/>
        <v>34.813958399999997</v>
      </c>
      <c r="W8">
        <f t="shared" si="0"/>
        <v>287.77392083231996</v>
      </c>
      <c r="Z8" t="s">
        <v>18</v>
      </c>
      <c r="AA8">
        <v>47.850318359999996</v>
      </c>
      <c r="AB8">
        <v>537.12460862283592</v>
      </c>
      <c r="AD8" t="s">
        <v>5</v>
      </c>
      <c r="AE8">
        <v>42.390992650000001</v>
      </c>
      <c r="AF8">
        <v>943.36915043310012</v>
      </c>
    </row>
    <row r="9" spans="1:32" x14ac:dyDescent="0.25">
      <c r="A9" t="s">
        <v>11</v>
      </c>
      <c r="B9" s="3">
        <v>5.7999999999999996E-2</v>
      </c>
      <c r="D9" t="s">
        <v>12</v>
      </c>
      <c r="E9" s="14">
        <v>1.0652999999999999</v>
      </c>
      <c r="F9" s="14">
        <v>1.0526</v>
      </c>
      <c r="J9" t="s">
        <v>43</v>
      </c>
      <c r="K9" s="14">
        <v>0.98620000000000008</v>
      </c>
      <c r="L9" s="14">
        <v>0.9819</v>
      </c>
      <c r="N9" t="s">
        <v>43</v>
      </c>
      <c r="O9" s="12">
        <v>187.6893</v>
      </c>
      <c r="P9" s="12">
        <v>61.678699999999999</v>
      </c>
      <c r="Q9" s="12">
        <v>-27.541899999999998</v>
      </c>
      <c r="R9" s="12">
        <v>-61.169699999999999</v>
      </c>
      <c r="U9" t="s">
        <v>43</v>
      </c>
      <c r="V9">
        <f t="shared" si="1"/>
        <v>60.325558140000005</v>
      </c>
      <c r="W9">
        <f t="shared" si="0"/>
        <v>830.74024486803307</v>
      </c>
      <c r="Z9" t="s">
        <v>44</v>
      </c>
      <c r="AA9">
        <v>64.840953400000004</v>
      </c>
      <c r="AB9">
        <v>493.65687256788999</v>
      </c>
      <c r="AD9" t="s">
        <v>6</v>
      </c>
      <c r="AE9">
        <v>40.40162874</v>
      </c>
      <c r="AF9">
        <v>824.79925072709989</v>
      </c>
    </row>
    <row r="10" spans="1:32" x14ac:dyDescent="0.25">
      <c r="A10" t="s">
        <v>10</v>
      </c>
      <c r="B10" s="3">
        <v>5.7000000000000002E-2</v>
      </c>
      <c r="D10" t="s">
        <v>9</v>
      </c>
      <c r="E10" s="14">
        <v>1.0465</v>
      </c>
      <c r="F10" s="14">
        <v>1.0569999999999999</v>
      </c>
      <c r="J10" t="s">
        <v>21</v>
      </c>
      <c r="K10" s="14">
        <v>1.1375999999999999</v>
      </c>
      <c r="L10" s="14">
        <v>1.0703</v>
      </c>
      <c r="N10" t="s">
        <v>21</v>
      </c>
      <c r="O10" s="12">
        <v>204.76859999999999</v>
      </c>
      <c r="P10" s="12">
        <v>78.342699999999994</v>
      </c>
      <c r="Q10" s="12">
        <v>-30.809799999999999</v>
      </c>
      <c r="R10" s="12">
        <v>-60.276800000000001</v>
      </c>
      <c r="U10" t="s">
        <v>21</v>
      </c>
      <c r="V10">
        <f t="shared" si="1"/>
        <v>68.570887679999998</v>
      </c>
      <c r="W10">
        <f t="shared" si="0"/>
        <v>1056.3276676216319</v>
      </c>
      <c r="Z10" t="s">
        <v>12</v>
      </c>
      <c r="AA10">
        <v>43.790115269999994</v>
      </c>
      <c r="AB10">
        <v>391.77483478034543</v>
      </c>
      <c r="AD10" t="s">
        <v>27</v>
      </c>
      <c r="AE10">
        <v>31.586248799999996</v>
      </c>
      <c r="AF10">
        <v>803.37096922895989</v>
      </c>
    </row>
    <row r="11" spans="1:32" x14ac:dyDescent="0.25">
      <c r="A11" t="s">
        <v>9</v>
      </c>
      <c r="B11" s="3">
        <v>5.5E-2</v>
      </c>
      <c r="D11" t="s">
        <v>4</v>
      </c>
      <c r="E11" s="14">
        <v>1.0421</v>
      </c>
      <c r="F11" s="14">
        <v>1.0204</v>
      </c>
      <c r="J11" t="s">
        <v>11</v>
      </c>
      <c r="K11" s="14">
        <v>0.99280000000000002</v>
      </c>
      <c r="L11" s="14">
        <v>0.99309999999999998</v>
      </c>
      <c r="N11" t="s">
        <v>11</v>
      </c>
      <c r="O11" s="12">
        <v>162.49170000000001</v>
      </c>
      <c r="P11" s="12">
        <v>97.696100000000001</v>
      </c>
      <c r="Q11" s="12">
        <v>-16.111899999999999</v>
      </c>
      <c r="R11" s="12">
        <v>-27.542400000000001</v>
      </c>
      <c r="U11" t="s">
        <v>11</v>
      </c>
      <c r="V11">
        <f t="shared" si="1"/>
        <v>27.344094720000001</v>
      </c>
      <c r="W11">
        <f t="shared" si="0"/>
        <v>220.28265985958399</v>
      </c>
      <c r="Z11" t="s">
        <v>13</v>
      </c>
      <c r="AA11">
        <v>34.813958399999997</v>
      </c>
      <c r="AB11">
        <v>287.77392083231996</v>
      </c>
      <c r="AD11" t="s">
        <v>7</v>
      </c>
      <c r="AE11">
        <v>51.87232353000001</v>
      </c>
      <c r="AF11">
        <v>776.69986191174917</v>
      </c>
    </row>
    <row r="12" spans="1:32" x14ac:dyDescent="0.25">
      <c r="A12" t="s">
        <v>8</v>
      </c>
      <c r="B12" s="3">
        <v>5.2999999999999999E-2</v>
      </c>
      <c r="D12" t="s">
        <v>3</v>
      </c>
      <c r="E12" s="14">
        <v>1.0325</v>
      </c>
      <c r="F12" s="14">
        <v>0.97900000000000009</v>
      </c>
      <c r="J12" t="s">
        <v>35</v>
      </c>
      <c r="K12" s="14">
        <v>0.94340000000000002</v>
      </c>
      <c r="L12" s="14">
        <v>0.84489999999999998</v>
      </c>
      <c r="N12" t="s">
        <v>35</v>
      </c>
      <c r="O12" s="12">
        <v>169.6292</v>
      </c>
      <c r="P12" s="12">
        <v>82.940200000000004</v>
      </c>
      <c r="Q12" s="12">
        <v>-27.986599999999999</v>
      </c>
      <c r="R12" s="12">
        <v>-44.4482</v>
      </c>
      <c r="U12" t="s">
        <v>35</v>
      </c>
      <c r="V12">
        <f t="shared" si="1"/>
        <v>41.932431880000003</v>
      </c>
      <c r="W12">
        <f t="shared" si="0"/>
        <v>586.773099026404</v>
      </c>
      <c r="Z12" t="s">
        <v>33</v>
      </c>
      <c r="AA12">
        <v>36.99809406</v>
      </c>
      <c r="AB12">
        <v>242.888787694494</v>
      </c>
      <c r="AD12" t="s">
        <v>10</v>
      </c>
      <c r="AE12">
        <v>36.502429679999999</v>
      </c>
      <c r="AF12">
        <v>642.19089560320788</v>
      </c>
    </row>
    <row r="13" spans="1:32" x14ac:dyDescent="0.25">
      <c r="A13" t="s">
        <v>4</v>
      </c>
      <c r="B13" s="3">
        <v>5.2999999999999999E-2</v>
      </c>
      <c r="D13" t="s">
        <v>10</v>
      </c>
      <c r="E13" s="14">
        <v>1.0286999999999999</v>
      </c>
      <c r="F13" s="14">
        <v>1.0077</v>
      </c>
      <c r="J13" t="s">
        <v>2</v>
      </c>
      <c r="K13" s="14">
        <v>0.96989999999999998</v>
      </c>
      <c r="L13" s="14">
        <v>0.99639999999999995</v>
      </c>
      <c r="N13" t="s">
        <v>2</v>
      </c>
      <c r="O13" s="12">
        <v>178.31630000000001</v>
      </c>
      <c r="P13" s="12">
        <v>95.715900000000005</v>
      </c>
      <c r="Q13" s="12">
        <v>-12.2921</v>
      </c>
      <c r="R13" s="12">
        <v>-29.338899999999999</v>
      </c>
      <c r="U13" t="s">
        <v>2</v>
      </c>
      <c r="V13">
        <f t="shared" si="1"/>
        <v>28.455799109999997</v>
      </c>
      <c r="W13">
        <f t="shared" si="0"/>
        <v>174.89076412001549</v>
      </c>
      <c r="Z13" t="s">
        <v>11</v>
      </c>
      <c r="AA13">
        <v>27.344094720000001</v>
      </c>
      <c r="AB13">
        <v>220.28265985958399</v>
      </c>
      <c r="AD13" t="s">
        <v>4</v>
      </c>
      <c r="AE13">
        <v>32.689354549999997</v>
      </c>
      <c r="AF13">
        <v>622.22551918197507</v>
      </c>
    </row>
    <row r="14" spans="1:32" x14ac:dyDescent="0.25">
      <c r="A14" t="s">
        <v>43</v>
      </c>
      <c r="B14" s="3">
        <v>5.2000000000000005E-2</v>
      </c>
      <c r="D14" t="s">
        <v>6</v>
      </c>
      <c r="E14" s="14">
        <v>1.0243</v>
      </c>
      <c r="F14" s="14">
        <v>1.0039</v>
      </c>
      <c r="J14" t="s">
        <v>34</v>
      </c>
      <c r="K14" s="14">
        <v>0.99309999999999998</v>
      </c>
      <c r="L14" s="14">
        <v>1.0084</v>
      </c>
      <c r="N14" t="s">
        <v>34</v>
      </c>
      <c r="O14" s="12">
        <v>220.35740000000001</v>
      </c>
      <c r="P14" s="12">
        <v>86.0304</v>
      </c>
      <c r="Q14" s="12">
        <v>-26.617799999999999</v>
      </c>
      <c r="R14" s="12">
        <v>-51.8185</v>
      </c>
      <c r="U14" t="s">
        <v>34</v>
      </c>
      <c r="V14">
        <f t="shared" si="1"/>
        <v>51.460952349999999</v>
      </c>
      <c r="W14">
        <f t="shared" si="0"/>
        <v>684.88866873091501</v>
      </c>
      <c r="Z14" t="s">
        <v>3</v>
      </c>
      <c r="AA14">
        <v>32.164646499999996</v>
      </c>
      <c r="AB14">
        <v>219.573567564575</v>
      </c>
      <c r="AD14" t="s">
        <v>13</v>
      </c>
      <c r="AE14">
        <v>29.167292200000002</v>
      </c>
      <c r="AF14">
        <v>546.10796204825999</v>
      </c>
    </row>
    <row r="15" spans="1:32" x14ac:dyDescent="0.25">
      <c r="A15" t="s">
        <v>35</v>
      </c>
      <c r="B15" s="3">
        <v>5.0999999999999997E-2</v>
      </c>
      <c r="D15" t="s">
        <v>34</v>
      </c>
      <c r="E15" s="14">
        <v>0.99309999999999998</v>
      </c>
      <c r="F15" s="14">
        <v>1.0084</v>
      </c>
      <c r="J15" t="s">
        <v>6</v>
      </c>
      <c r="K15" s="14">
        <v>1.0243</v>
      </c>
      <c r="L15" s="14">
        <v>1.0039</v>
      </c>
      <c r="N15" t="s">
        <v>6</v>
      </c>
      <c r="O15" s="12">
        <v>195.6713</v>
      </c>
      <c r="P15" s="12">
        <v>103.633</v>
      </c>
      <c r="Q15" s="12">
        <v>-12.235099999999999</v>
      </c>
      <c r="R15" s="12">
        <v>-31.638999999999999</v>
      </c>
      <c r="U15" t="s">
        <v>6</v>
      </c>
      <c r="V15">
        <f t="shared" si="1"/>
        <v>32.407827699999999</v>
      </c>
      <c r="W15">
        <f t="shared" si="0"/>
        <v>198.25650634613498</v>
      </c>
      <c r="Z15" t="s">
        <v>5</v>
      </c>
      <c r="AA15">
        <v>34.081465440000002</v>
      </c>
      <c r="AB15">
        <v>212.55757958292</v>
      </c>
      <c r="AD15" t="s">
        <v>21</v>
      </c>
      <c r="AE15">
        <v>34.231636000000002</v>
      </c>
      <c r="AF15">
        <v>519.74235255159999</v>
      </c>
    </row>
    <row r="16" spans="1:32" x14ac:dyDescent="0.25">
      <c r="A16" t="s">
        <v>34</v>
      </c>
      <c r="B16" s="3">
        <v>0.05</v>
      </c>
      <c r="D16" t="s">
        <v>11</v>
      </c>
      <c r="E16" s="14">
        <v>0.99280000000000002</v>
      </c>
      <c r="F16" s="14">
        <v>0.99309999999999998</v>
      </c>
      <c r="J16" t="s">
        <v>8</v>
      </c>
      <c r="K16" s="14">
        <v>0.89340000000000008</v>
      </c>
      <c r="L16" s="14">
        <v>0.9113</v>
      </c>
      <c r="N16" t="s">
        <v>8</v>
      </c>
      <c r="O16" s="12">
        <v>174.1969</v>
      </c>
      <c r="P16" s="12">
        <v>90.65</v>
      </c>
      <c r="Q16" s="12">
        <v>-13.387700000000001</v>
      </c>
      <c r="R16" s="12">
        <v>-33.889899999999997</v>
      </c>
      <c r="U16" t="s">
        <v>8</v>
      </c>
      <c r="V16">
        <f t="shared" si="1"/>
        <v>30.27723666</v>
      </c>
      <c r="W16">
        <f t="shared" si="0"/>
        <v>202.67128061654103</v>
      </c>
      <c r="Z16" t="s">
        <v>8</v>
      </c>
      <c r="AA16">
        <v>30.27723666</v>
      </c>
      <c r="AB16">
        <v>202.67128061654103</v>
      </c>
      <c r="AD16" t="s">
        <v>18</v>
      </c>
      <c r="AE16">
        <v>25.524206409999998</v>
      </c>
      <c r="AF16">
        <v>395.87278415717697</v>
      </c>
    </row>
    <row r="17" spans="1:32" x14ac:dyDescent="0.25">
      <c r="A17" t="s">
        <v>12</v>
      </c>
      <c r="B17" s="3">
        <v>4.4000000000000004E-2</v>
      </c>
      <c r="D17" t="s">
        <v>43</v>
      </c>
      <c r="E17" s="14">
        <v>0.98620000000000008</v>
      </c>
      <c r="F17" s="14">
        <v>0.9819</v>
      </c>
      <c r="J17" t="s">
        <v>3</v>
      </c>
      <c r="K17" s="14">
        <v>1.0325</v>
      </c>
      <c r="L17" s="14">
        <v>0.97900000000000009</v>
      </c>
      <c r="N17" t="s">
        <v>3</v>
      </c>
      <c r="O17" s="12">
        <v>179.01240000000001</v>
      </c>
      <c r="P17" s="12">
        <v>95.668800000000005</v>
      </c>
      <c r="Q17" s="12">
        <v>-13.6531</v>
      </c>
      <c r="R17" s="12">
        <v>-31.152200000000001</v>
      </c>
      <c r="U17" t="s">
        <v>3</v>
      </c>
      <c r="V17">
        <f t="shared" si="1"/>
        <v>32.164646499999996</v>
      </c>
      <c r="W17">
        <f t="shared" si="0"/>
        <v>219.573567564575</v>
      </c>
      <c r="Z17" t="s">
        <v>6</v>
      </c>
      <c r="AA17">
        <v>32.407827699999999</v>
      </c>
      <c r="AB17">
        <v>198.25650634613498</v>
      </c>
      <c r="AD17" t="s">
        <v>8</v>
      </c>
      <c r="AE17">
        <v>15.200124120000002</v>
      </c>
      <c r="AF17">
        <v>309.51100738108806</v>
      </c>
    </row>
    <row r="18" spans="1:32" x14ac:dyDescent="0.25">
      <c r="A18" t="s">
        <v>21</v>
      </c>
      <c r="B18" s="3">
        <v>4.2999999999999997E-2</v>
      </c>
      <c r="D18" t="s">
        <v>13</v>
      </c>
      <c r="E18" s="14">
        <v>0.9788</v>
      </c>
      <c r="F18" s="14">
        <v>0.99639999999999995</v>
      </c>
      <c r="J18" t="s">
        <v>4</v>
      </c>
      <c r="K18" s="14">
        <v>1.0421</v>
      </c>
      <c r="L18" s="14">
        <v>1.0204</v>
      </c>
      <c r="N18" t="s">
        <v>4</v>
      </c>
      <c r="O18" s="12">
        <v>175.94929999999999</v>
      </c>
      <c r="P18" s="12">
        <v>97.364199999999997</v>
      </c>
      <c r="Q18" s="12">
        <v>-6.3868</v>
      </c>
      <c r="R18" s="12">
        <v>-21.442299999999999</v>
      </c>
      <c r="U18" t="s">
        <v>4</v>
      </c>
      <c r="V18">
        <f t="shared" si="1"/>
        <v>22.345020829999999</v>
      </c>
      <c r="W18">
        <f t="shared" si="0"/>
        <v>71.356589518522</v>
      </c>
      <c r="Z18" t="s">
        <v>10</v>
      </c>
      <c r="AA18">
        <v>28.246970429999998</v>
      </c>
      <c r="AB18">
        <v>177.69180453547949</v>
      </c>
      <c r="AD18" t="s">
        <v>11</v>
      </c>
      <c r="AE18">
        <v>18.911175029999999</v>
      </c>
      <c r="AF18">
        <v>236.43696581257498</v>
      </c>
    </row>
    <row r="19" spans="1:32" x14ac:dyDescent="0.25">
      <c r="A19" t="s">
        <v>41</v>
      </c>
      <c r="B19" s="3">
        <v>4.2999999999999997E-2</v>
      </c>
      <c r="D19" t="s">
        <v>2</v>
      </c>
      <c r="E19" s="14">
        <v>0.96989999999999998</v>
      </c>
      <c r="F19" s="14">
        <v>0.99639999999999995</v>
      </c>
      <c r="J19" t="s">
        <v>9</v>
      </c>
      <c r="K19" s="14">
        <v>1.0465</v>
      </c>
      <c r="L19" s="14">
        <v>1.0569999999999999</v>
      </c>
      <c r="N19" t="s">
        <v>9</v>
      </c>
      <c r="O19" s="12">
        <v>173.8837</v>
      </c>
      <c r="P19" s="12">
        <v>100.5132</v>
      </c>
      <c r="Q19" s="12">
        <v>-9.9982000000000006</v>
      </c>
      <c r="R19" s="12">
        <v>-30.168900000000001</v>
      </c>
      <c r="U19" t="s">
        <v>9</v>
      </c>
      <c r="V19">
        <f t="shared" si="1"/>
        <v>31.57175385</v>
      </c>
      <c r="W19">
        <f>K19*((-(Q19))*(-(R19))/2)</f>
        <v>157.83035467153499</v>
      </c>
      <c r="Z19" t="s">
        <v>2</v>
      </c>
      <c r="AA19">
        <v>28.455799109999997</v>
      </c>
      <c r="AB19">
        <v>174.89076412001549</v>
      </c>
      <c r="AD19" t="s">
        <v>29</v>
      </c>
      <c r="AE19">
        <v>21.223311340000002</v>
      </c>
      <c r="AF19">
        <v>217.55591988407204</v>
      </c>
    </row>
    <row r="20" spans="1:32" x14ac:dyDescent="0.25">
      <c r="A20" t="s">
        <v>13</v>
      </c>
      <c r="B20" s="3">
        <v>3.7000000000000005E-2</v>
      </c>
      <c r="D20" t="s">
        <v>35</v>
      </c>
      <c r="E20" s="14">
        <v>0.94340000000000002</v>
      </c>
      <c r="F20" s="14">
        <v>0.84489999999999998</v>
      </c>
      <c r="J20" t="s">
        <v>18</v>
      </c>
      <c r="K20" s="14">
        <v>1.0972</v>
      </c>
      <c r="L20" s="14">
        <v>1.0398000000000001</v>
      </c>
      <c r="N20" t="s">
        <v>18</v>
      </c>
      <c r="O20" s="12">
        <v>196.27539999999999</v>
      </c>
      <c r="P20" s="12">
        <v>92.474299999999999</v>
      </c>
      <c r="Q20" s="12">
        <v>-22.450199999999999</v>
      </c>
      <c r="R20" s="12">
        <v>-43.6113</v>
      </c>
      <c r="U20" t="s">
        <v>18</v>
      </c>
      <c r="V20">
        <f t="shared" si="1"/>
        <v>47.850318359999996</v>
      </c>
      <c r="W20">
        <f t="shared" si="0"/>
        <v>537.12460862283592</v>
      </c>
      <c r="Z20" t="s">
        <v>9</v>
      </c>
      <c r="AA20">
        <v>31.57175385</v>
      </c>
      <c r="AB20">
        <v>157.83035467153499</v>
      </c>
      <c r="AD20" t="s">
        <v>12</v>
      </c>
      <c r="AE20">
        <v>19.060794299999998</v>
      </c>
      <c r="AF20">
        <v>207.69594508994999</v>
      </c>
    </row>
    <row r="21" spans="1:32" x14ac:dyDescent="0.25">
      <c r="A21" t="s">
        <v>44</v>
      </c>
      <c r="B21" s="3">
        <v>7.0000000000000001E-3</v>
      </c>
      <c r="D21" t="s">
        <v>8</v>
      </c>
      <c r="E21" s="14">
        <v>0.89340000000000008</v>
      </c>
      <c r="F21" s="14">
        <v>0.9113</v>
      </c>
      <c r="J21" t="s">
        <v>41</v>
      </c>
      <c r="K21" s="14">
        <v>1.0826</v>
      </c>
      <c r="L21" s="14">
        <v>1.0851999999999999</v>
      </c>
      <c r="N21" t="s">
        <v>41</v>
      </c>
      <c r="O21" s="12">
        <v>189.3828</v>
      </c>
      <c r="P21" s="12">
        <v>85.446100000000001</v>
      </c>
      <c r="Q21" s="12">
        <v>-26.165299999999998</v>
      </c>
      <c r="R21" s="12">
        <v>-45.112099999999998</v>
      </c>
      <c r="U21" t="s">
        <v>41</v>
      </c>
      <c r="V21">
        <f>K21*(-(R21))</f>
        <v>48.83835946</v>
      </c>
      <c r="W21">
        <f t="shared" si="0"/>
        <v>638.93516338936888</v>
      </c>
      <c r="Z21" t="s">
        <v>4</v>
      </c>
      <c r="AA21">
        <v>22.345020829999999</v>
      </c>
      <c r="AB21">
        <v>71.356589518522</v>
      </c>
      <c r="AD21" t="s">
        <v>24</v>
      </c>
      <c r="AE21">
        <v>13.7409</v>
      </c>
      <c r="AF21">
        <v>-29.727063060000003</v>
      </c>
    </row>
    <row r="25" spans="1:32" x14ac:dyDescent="0.25">
      <c r="A25" s="2"/>
      <c r="B25"/>
      <c r="D25" s="2"/>
      <c r="F25"/>
    </row>
    <row r="26" spans="1:32" x14ac:dyDescent="0.25">
      <c r="A26" s="2"/>
      <c r="B26"/>
      <c r="D26" s="2"/>
      <c r="F26"/>
      <c r="Z26" s="1" t="s">
        <v>30</v>
      </c>
      <c r="AA26" s="1" t="s">
        <v>31</v>
      </c>
      <c r="AB26" s="1" t="s">
        <v>32</v>
      </c>
      <c r="AD26" s="1" t="s">
        <v>30</v>
      </c>
      <c r="AE26" s="1" t="s">
        <v>31</v>
      </c>
      <c r="AF26" s="1" t="s">
        <v>32</v>
      </c>
    </row>
    <row r="27" spans="1:32" x14ac:dyDescent="0.25">
      <c r="A27" s="11" t="s">
        <v>17</v>
      </c>
      <c r="B27" s="13" t="s">
        <v>28</v>
      </c>
      <c r="C27" s="13" t="s">
        <v>16</v>
      </c>
      <c r="D27" s="20" t="s">
        <v>23</v>
      </c>
      <c r="E27" s="20"/>
      <c r="F27" s="5"/>
      <c r="G27" s="21" t="s">
        <v>22</v>
      </c>
      <c r="H27" s="21"/>
      <c r="Z27" t="s">
        <v>25</v>
      </c>
      <c r="AA27">
        <v>63.168390390000006</v>
      </c>
      <c r="AB27">
        <v>660.41288784937217</v>
      </c>
      <c r="AD27" t="s">
        <v>9</v>
      </c>
      <c r="AE27">
        <v>44.753745899999998</v>
      </c>
      <c r="AF27">
        <v>765.82609984079977</v>
      </c>
    </row>
    <row r="28" spans="1:32" x14ac:dyDescent="0.25">
      <c r="A28" t="s">
        <v>10</v>
      </c>
      <c r="B28" s="12">
        <v>240.16159999999999</v>
      </c>
      <c r="C28" s="12">
        <v>107.3518</v>
      </c>
      <c r="D28" s="12">
        <v>-20.414999999999999</v>
      </c>
      <c r="E28" s="12">
        <v>-37.596899999999998</v>
      </c>
      <c r="F28" s="5"/>
      <c r="G28" t="s">
        <v>10</v>
      </c>
      <c r="H28" s="15">
        <v>188.3681</v>
      </c>
      <c r="Z28" t="s">
        <v>2</v>
      </c>
      <c r="AA28">
        <v>57.528658</v>
      </c>
      <c r="AB28">
        <v>700.38839968679997</v>
      </c>
      <c r="AD28" t="s">
        <v>2</v>
      </c>
      <c r="AE28">
        <v>57.528658</v>
      </c>
      <c r="AF28">
        <v>700.38839968679997</v>
      </c>
    </row>
    <row r="29" spans="1:32" x14ac:dyDescent="0.25">
      <c r="A29" t="s">
        <v>25</v>
      </c>
      <c r="B29" s="12">
        <v>233.0532</v>
      </c>
      <c r="C29" s="12">
        <v>82.703800000000001</v>
      </c>
      <c r="D29" s="12">
        <v>-20.909600000000001</v>
      </c>
      <c r="E29" s="12">
        <v>-58.257300000000001</v>
      </c>
      <c r="G29" t="s">
        <v>25</v>
      </c>
      <c r="H29" s="15">
        <v>185.02549999999999</v>
      </c>
      <c r="Z29" t="s">
        <v>7</v>
      </c>
      <c r="AA29">
        <v>51.87232353000001</v>
      </c>
      <c r="AB29">
        <v>388.34993095587453</v>
      </c>
      <c r="AD29" t="s">
        <v>25</v>
      </c>
      <c r="AE29">
        <v>63.168390390000006</v>
      </c>
      <c r="AF29">
        <v>660.41288784937217</v>
      </c>
    </row>
    <row r="30" spans="1:32" x14ac:dyDescent="0.25">
      <c r="A30" t="s">
        <v>6</v>
      </c>
      <c r="B30" s="12">
        <v>224.04150000000001</v>
      </c>
      <c r="C30" s="12">
        <v>103.9102</v>
      </c>
      <c r="D30" s="12">
        <v>-19.034500000000001</v>
      </c>
      <c r="E30" s="12">
        <v>-33.136699999999998</v>
      </c>
      <c r="G30" t="s">
        <v>26</v>
      </c>
      <c r="H30" s="15">
        <v>180.06829999999999</v>
      </c>
      <c r="Z30" t="s">
        <v>26</v>
      </c>
      <c r="AA30">
        <v>48.443163800000001</v>
      </c>
      <c r="AB30">
        <v>508.32138422796999</v>
      </c>
      <c r="AD30" t="s">
        <v>3</v>
      </c>
      <c r="AE30">
        <v>43.180367679999989</v>
      </c>
      <c r="AF30">
        <v>559.83130795281579</v>
      </c>
    </row>
    <row r="31" spans="1:32" x14ac:dyDescent="0.25">
      <c r="A31" t="s">
        <v>26</v>
      </c>
      <c r="B31" s="12">
        <v>222.71010000000001</v>
      </c>
      <c r="C31" s="12">
        <v>83.021799999999999</v>
      </c>
      <c r="D31" s="12">
        <v>-14.9733</v>
      </c>
      <c r="E31" s="12">
        <v>-44.225700000000003</v>
      </c>
      <c r="G31" t="s">
        <v>7</v>
      </c>
      <c r="H31" s="15">
        <v>178.82759999999999</v>
      </c>
      <c r="Z31" t="s">
        <v>9</v>
      </c>
      <c r="AA31">
        <v>44.753745899999998</v>
      </c>
      <c r="AB31">
        <v>765.82609984079977</v>
      </c>
      <c r="AD31" t="s">
        <v>26</v>
      </c>
      <c r="AE31">
        <v>48.443163800000001</v>
      </c>
      <c r="AF31">
        <v>508.32138422796999</v>
      </c>
    </row>
    <row r="32" spans="1:32" x14ac:dyDescent="0.25">
      <c r="A32" t="s">
        <v>7</v>
      </c>
      <c r="B32" s="12">
        <v>221.31450000000001</v>
      </c>
      <c r="C32" s="12">
        <v>98.600499999999997</v>
      </c>
      <c r="D32" s="12">
        <v>-22.254000000000001</v>
      </c>
      <c r="E32" s="12">
        <v>-39.016100000000002</v>
      </c>
      <c r="G32" t="s">
        <v>8</v>
      </c>
      <c r="H32" s="15">
        <v>174.26820000000001</v>
      </c>
      <c r="Z32" t="s">
        <v>3</v>
      </c>
      <c r="AA32">
        <v>43.180367679999989</v>
      </c>
      <c r="AB32">
        <v>559.83130795281579</v>
      </c>
      <c r="AD32" t="s">
        <v>5</v>
      </c>
      <c r="AE32">
        <v>42.390992650000001</v>
      </c>
      <c r="AF32">
        <v>471.68457521655006</v>
      </c>
    </row>
    <row r="33" spans="1:32" x14ac:dyDescent="0.25">
      <c r="A33" t="s">
        <v>2</v>
      </c>
      <c r="B33" s="12">
        <v>211.7251</v>
      </c>
      <c r="C33" s="12">
        <v>94.972999999999999</v>
      </c>
      <c r="D33" s="12">
        <v>-25.9299</v>
      </c>
      <c r="E33" s="12">
        <v>-40.674799999999998</v>
      </c>
      <c r="G33" t="s">
        <v>21</v>
      </c>
      <c r="H33" s="15">
        <v>172.57310000000001</v>
      </c>
      <c r="Z33" t="s">
        <v>5</v>
      </c>
      <c r="AA33">
        <v>42.390992650000001</v>
      </c>
      <c r="AB33">
        <v>471.68457521655006</v>
      </c>
      <c r="AD33" t="s">
        <v>6</v>
      </c>
      <c r="AE33">
        <v>40.40162874</v>
      </c>
      <c r="AF33">
        <v>412.39962536354994</v>
      </c>
    </row>
    <row r="34" spans="1:32" x14ac:dyDescent="0.25">
      <c r="A34" t="s">
        <v>8</v>
      </c>
      <c r="B34" s="12">
        <v>210.39340000000001</v>
      </c>
      <c r="C34" s="12">
        <v>92.510800000000003</v>
      </c>
      <c r="D34" s="12">
        <v>-20.9863</v>
      </c>
      <c r="E34" s="12">
        <v>-40.991</v>
      </c>
      <c r="G34" t="s">
        <v>5</v>
      </c>
      <c r="H34" s="15">
        <v>168.59460000000001</v>
      </c>
      <c r="Z34" t="s">
        <v>6</v>
      </c>
      <c r="AA34">
        <v>40.40162874</v>
      </c>
      <c r="AB34">
        <v>412.39962536354994</v>
      </c>
      <c r="AD34" t="s">
        <v>27</v>
      </c>
      <c r="AE34">
        <v>31.586248799999996</v>
      </c>
      <c r="AF34">
        <v>401.68548461447995</v>
      </c>
    </row>
    <row r="35" spans="1:32" x14ac:dyDescent="0.25">
      <c r="A35" t="s">
        <v>5</v>
      </c>
      <c r="B35" s="12">
        <v>208.52029999999999</v>
      </c>
      <c r="C35" s="12">
        <v>101.45399999999999</v>
      </c>
      <c r="D35" s="12">
        <v>-18.723299999999998</v>
      </c>
      <c r="E35" s="12">
        <v>-32.253999999999998</v>
      </c>
      <c r="G35" t="s">
        <v>12</v>
      </c>
      <c r="H35" s="15">
        <v>164.9127</v>
      </c>
      <c r="Z35" t="s">
        <v>10</v>
      </c>
      <c r="AA35">
        <v>36.502429679999999</v>
      </c>
      <c r="AB35">
        <v>321.09544780160394</v>
      </c>
      <c r="AD35" t="s">
        <v>7</v>
      </c>
      <c r="AE35">
        <v>51.87232353000001</v>
      </c>
      <c r="AF35">
        <v>388.34993095587453</v>
      </c>
    </row>
    <row r="36" spans="1:32" x14ac:dyDescent="0.25">
      <c r="A36" t="s">
        <v>21</v>
      </c>
      <c r="B36" s="12">
        <v>207.3502</v>
      </c>
      <c r="C36" s="12">
        <v>72.156400000000005</v>
      </c>
      <c r="D36" s="12">
        <v>-24.3492</v>
      </c>
      <c r="E36" s="12">
        <v>-51.023200000000003</v>
      </c>
      <c r="G36" t="s">
        <v>11</v>
      </c>
      <c r="H36" s="15">
        <v>163.6489</v>
      </c>
      <c r="Z36" t="s">
        <v>21</v>
      </c>
      <c r="AA36">
        <v>34.231636000000002</v>
      </c>
      <c r="AB36">
        <v>259.8711762758</v>
      </c>
      <c r="AD36" t="s">
        <v>10</v>
      </c>
      <c r="AE36">
        <v>36.502429679999999</v>
      </c>
      <c r="AF36">
        <v>321.09544780160394</v>
      </c>
    </row>
    <row r="37" spans="1:32" x14ac:dyDescent="0.25">
      <c r="A37" t="s">
        <v>3</v>
      </c>
      <c r="B37" s="12">
        <v>203.5121</v>
      </c>
      <c r="C37" s="12">
        <v>98.546000000000006</v>
      </c>
      <c r="D37" s="12">
        <v>-25.434200000000001</v>
      </c>
      <c r="E37" s="12">
        <v>-35.570099999999996</v>
      </c>
      <c r="G37" t="s">
        <v>2</v>
      </c>
      <c r="H37" s="15">
        <v>160.2561</v>
      </c>
      <c r="Z37" t="s">
        <v>4</v>
      </c>
      <c r="AA37">
        <v>32.689354549999997</v>
      </c>
      <c r="AB37">
        <v>311.11275959098748</v>
      </c>
      <c r="AD37" t="s">
        <v>4</v>
      </c>
      <c r="AE37">
        <v>32.689354549999997</v>
      </c>
      <c r="AF37">
        <v>311.11275959098748</v>
      </c>
    </row>
    <row r="38" spans="1:32" x14ac:dyDescent="0.25">
      <c r="A38" t="s">
        <v>12</v>
      </c>
      <c r="B38" s="12">
        <v>202.90360000000001</v>
      </c>
      <c r="C38" s="12">
        <v>94.757400000000004</v>
      </c>
      <c r="D38" s="12">
        <v>-17.5931</v>
      </c>
      <c r="E38" s="12">
        <v>-32.6556</v>
      </c>
      <c r="G38" t="s">
        <v>3</v>
      </c>
      <c r="H38" s="15">
        <v>156.32810000000001</v>
      </c>
      <c r="Z38" t="s">
        <v>27</v>
      </c>
      <c r="AA38">
        <v>31.586248799999996</v>
      </c>
      <c r="AB38">
        <v>401.68548461447995</v>
      </c>
      <c r="AD38" t="s">
        <v>13</v>
      </c>
      <c r="AE38">
        <v>29.167292200000002</v>
      </c>
      <c r="AF38">
        <v>273.05398102413</v>
      </c>
    </row>
    <row r="39" spans="1:32" x14ac:dyDescent="0.25">
      <c r="A39" t="s">
        <v>11</v>
      </c>
      <c r="B39" s="12">
        <v>189.41200000000001</v>
      </c>
      <c r="C39" s="12">
        <v>94.838499999999996</v>
      </c>
      <c r="D39" s="12">
        <v>-15.1831</v>
      </c>
      <c r="E39" s="12">
        <v>-27.46</v>
      </c>
      <c r="G39" t="s">
        <v>6</v>
      </c>
      <c r="H39" s="15">
        <v>152.57339999999999</v>
      </c>
      <c r="Z39" t="s">
        <v>13</v>
      </c>
      <c r="AA39">
        <v>29.167292200000002</v>
      </c>
      <c r="AB39">
        <v>273.05398102413</v>
      </c>
      <c r="AD39" t="s">
        <v>21</v>
      </c>
      <c r="AE39">
        <v>34.231636000000002</v>
      </c>
      <c r="AF39">
        <v>259.8711762758</v>
      </c>
    </row>
    <row r="40" spans="1:32" x14ac:dyDescent="0.25">
      <c r="A40" t="s">
        <v>4</v>
      </c>
      <c r="B40" s="12">
        <v>185.5958</v>
      </c>
      <c r="C40" s="12">
        <v>99.421800000000005</v>
      </c>
      <c r="D40" s="12">
        <v>-15.5097</v>
      </c>
      <c r="E40" s="12">
        <v>-25.957699999999999</v>
      </c>
      <c r="G40" t="s">
        <v>18</v>
      </c>
      <c r="H40" s="15">
        <v>145.3356</v>
      </c>
      <c r="Z40" t="s">
        <v>18</v>
      </c>
      <c r="AA40">
        <v>25.524206409999998</v>
      </c>
      <c r="AB40">
        <v>197.93639207858848</v>
      </c>
      <c r="AD40" t="s">
        <v>18</v>
      </c>
      <c r="AE40">
        <v>25.524206409999998</v>
      </c>
      <c r="AF40">
        <v>197.93639207858848</v>
      </c>
    </row>
    <row r="41" spans="1:32" x14ac:dyDescent="0.25">
      <c r="A41" t="s">
        <v>9</v>
      </c>
      <c r="B41" s="12">
        <v>185.27959999999999</v>
      </c>
      <c r="C41" s="12">
        <v>103.9067</v>
      </c>
      <c r="D41" s="12">
        <v>-12.5025</v>
      </c>
      <c r="E41" s="12">
        <v>-20.688300000000002</v>
      </c>
      <c r="G41" t="s">
        <v>27</v>
      </c>
      <c r="H41" s="15">
        <v>142.12289999999999</v>
      </c>
      <c r="Z41" t="s">
        <v>29</v>
      </c>
      <c r="AA41">
        <v>21.223311340000002</v>
      </c>
      <c r="AB41">
        <v>108.77795994203601</v>
      </c>
      <c r="AD41" t="s">
        <v>8</v>
      </c>
      <c r="AE41">
        <v>15.200124120000002</v>
      </c>
      <c r="AF41">
        <v>154.755503690544</v>
      </c>
    </row>
    <row r="42" spans="1:32" x14ac:dyDescent="0.25">
      <c r="A42" t="s">
        <v>18</v>
      </c>
      <c r="B42" s="12">
        <v>185.06880000000001</v>
      </c>
      <c r="C42" s="12">
        <v>82.805599999999998</v>
      </c>
      <c r="D42" s="12">
        <v>-34.223999999999997</v>
      </c>
      <c r="E42" s="12">
        <v>-45.643799999999999</v>
      </c>
      <c r="G42" t="s">
        <v>4</v>
      </c>
      <c r="H42" s="15">
        <v>141.46019999999999</v>
      </c>
      <c r="Z42" t="s">
        <v>12</v>
      </c>
      <c r="AA42">
        <v>19.060794299999998</v>
      </c>
      <c r="AB42">
        <v>103.84797254497499</v>
      </c>
      <c r="AD42" t="s">
        <v>11</v>
      </c>
      <c r="AE42">
        <v>18.911175029999999</v>
      </c>
      <c r="AF42">
        <v>118.21848290628749</v>
      </c>
    </row>
    <row r="43" spans="1:32" x14ac:dyDescent="0.25">
      <c r="A43" t="s">
        <v>24</v>
      </c>
      <c r="B43" s="12">
        <v>167.67490000000001</v>
      </c>
      <c r="C43" s="12">
        <v>74.382199999999997</v>
      </c>
      <c r="D43" s="12">
        <v>-10.8965</v>
      </c>
      <c r="E43" s="12">
        <v>-28.836300000000001</v>
      </c>
      <c r="G43" t="s">
        <v>9</v>
      </c>
      <c r="H43" s="15">
        <v>135.41460000000001</v>
      </c>
      <c r="Z43" t="s">
        <v>11</v>
      </c>
      <c r="AA43">
        <v>18.911175029999999</v>
      </c>
      <c r="AB43">
        <v>118.21848290628749</v>
      </c>
      <c r="AD43" t="s">
        <v>29</v>
      </c>
      <c r="AE43">
        <v>21.223311340000002</v>
      </c>
      <c r="AF43">
        <v>108.77795994203601</v>
      </c>
    </row>
    <row r="44" spans="1:32" x14ac:dyDescent="0.25">
      <c r="A44" t="s">
        <v>13</v>
      </c>
      <c r="B44" s="12">
        <v>159.52379999999999</v>
      </c>
      <c r="C44" s="12">
        <v>81.895700000000005</v>
      </c>
      <c r="D44" s="12">
        <v>-20.362400000000001</v>
      </c>
      <c r="E44" s="12">
        <v>-25.824200000000001</v>
      </c>
      <c r="G44" t="s">
        <v>29</v>
      </c>
      <c r="H44" s="15">
        <v>133.49709999999999</v>
      </c>
      <c r="Z44" t="s">
        <v>8</v>
      </c>
      <c r="AA44">
        <v>15.200124120000002</v>
      </c>
      <c r="AB44">
        <v>154.755503690544</v>
      </c>
      <c r="AD44" t="s">
        <v>12</v>
      </c>
      <c r="AE44">
        <v>19.060794299999998</v>
      </c>
      <c r="AF44">
        <v>103.84797254497499</v>
      </c>
    </row>
    <row r="45" spans="1:32" x14ac:dyDescent="0.25">
      <c r="A45" t="s">
        <v>27</v>
      </c>
      <c r="B45" s="12">
        <v>142.12289999999999</v>
      </c>
      <c r="C45" s="12">
        <v>57.335500000000003</v>
      </c>
      <c r="D45" s="12">
        <v>-10.2508</v>
      </c>
      <c r="E45" s="12">
        <v>-27.150200000000002</v>
      </c>
      <c r="G45" t="s">
        <v>13</v>
      </c>
      <c r="H45" s="15">
        <v>127.86360000000001</v>
      </c>
      <c r="Z45" t="s">
        <v>24</v>
      </c>
      <c r="AA45">
        <v>13.7409</v>
      </c>
      <c r="AB45">
        <v>-14.863531530000001</v>
      </c>
      <c r="AD45" t="s">
        <v>24</v>
      </c>
      <c r="AE45">
        <v>13.7409</v>
      </c>
      <c r="AF45">
        <v>-14.863531530000001</v>
      </c>
    </row>
    <row r="46" spans="1:32" x14ac:dyDescent="0.25">
      <c r="A46" t="s">
        <v>29</v>
      </c>
      <c r="B46" s="12">
        <v>133.49709999999999</v>
      </c>
      <c r="C46" s="12">
        <v>64.091499999999996</v>
      </c>
      <c r="D46" s="12">
        <v>2.1634000000000002</v>
      </c>
      <c r="E46" s="12">
        <v>-13.7409</v>
      </c>
      <c r="G46" t="s">
        <v>24</v>
      </c>
      <c r="H46" s="15">
        <v>120.04130000000001</v>
      </c>
    </row>
    <row r="47" spans="1:32" x14ac:dyDescent="0.25">
      <c r="A47" s="2"/>
      <c r="B47"/>
      <c r="D47" s="2"/>
      <c r="F47"/>
    </row>
    <row r="48" spans="1:32" x14ac:dyDescent="0.25">
      <c r="A48" s="2"/>
      <c r="B48"/>
      <c r="D48" s="2"/>
      <c r="F48"/>
    </row>
    <row r="49" spans="1:6" x14ac:dyDescent="0.25">
      <c r="A49" s="2"/>
      <c r="B49"/>
      <c r="D49" s="2"/>
      <c r="F49"/>
    </row>
    <row r="50" spans="1:6" x14ac:dyDescent="0.25">
      <c r="A50" s="2"/>
      <c r="B50"/>
      <c r="D50" s="2"/>
      <c r="F50"/>
    </row>
  </sheetData>
  <sortState xmlns:xlrd2="http://schemas.microsoft.com/office/spreadsheetml/2017/richdata2" ref="Z3:AB21">
    <sortCondition descending="1" ref="AB3:AB21"/>
  </sortState>
  <mergeCells count="3">
    <mergeCell ref="Q2:R2"/>
    <mergeCell ref="D27:E27"/>
    <mergeCell ref="G27:H27"/>
  </mergeCells>
  <conditionalFormatting sqref="B3:B21">
    <cfRule type="colorScale" priority="12">
      <colorScale>
        <cfvo type="min"/>
        <cfvo type="max"/>
        <color rgb="FFFF7128"/>
        <color rgb="FF92D050"/>
      </colorScale>
    </cfRule>
  </conditionalFormatting>
  <conditionalFormatting sqref="D28:D46">
    <cfRule type="cellIs" dxfId="33" priority="18" operator="between">
      <formula>-30</formula>
      <formula>-20</formula>
    </cfRule>
    <cfRule type="cellIs" dxfId="32" priority="19" operator="between">
      <formula>-40</formula>
      <formula>-30</formula>
    </cfRule>
    <cfRule type="cellIs" dxfId="31" priority="20" operator="lessThanOrEqual">
      <formula>-40</formula>
    </cfRule>
  </conditionalFormatting>
  <conditionalFormatting sqref="E3:E21">
    <cfRule type="colorScale" priority="13">
      <colorScale>
        <cfvo type="min"/>
        <cfvo type="percentile" val="50"/>
        <cfvo type="max"/>
        <color rgb="FF00B050"/>
        <color rgb="FFFFEB84"/>
        <color rgb="FFFF0000"/>
      </colorScale>
    </cfRule>
    <cfRule type="cellIs" dxfId="30" priority="14" operator="greaterThan">
      <formula>120</formula>
    </cfRule>
    <cfRule type="cellIs" dxfId="29" priority="15" operator="between">
      <formula>105</formula>
      <formula>120</formula>
    </cfRule>
    <cfRule type="colorScale" priority="16">
      <colorScale>
        <cfvo type="min"/>
        <cfvo type="max"/>
        <color rgb="FF92D050"/>
        <color rgb="FFFF0000"/>
      </colorScale>
    </cfRule>
  </conditionalFormatting>
  <conditionalFormatting sqref="E28:E46">
    <cfRule type="cellIs" dxfId="28" priority="21" operator="between">
      <formula>-40</formula>
      <formula>-30</formula>
    </cfRule>
    <cfRule type="cellIs" dxfId="27" priority="22" operator="between">
      <formula>-60</formula>
      <formula>-40</formula>
    </cfRule>
    <cfRule type="cellIs" dxfId="26" priority="23" operator="lessThanOrEqual">
      <formula>-60</formula>
    </cfRule>
  </conditionalFormatting>
  <conditionalFormatting sqref="F3:F21">
    <cfRule type="colorScale" priority="17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K3:K21">
    <cfRule type="colorScale" priority="7">
      <colorScale>
        <cfvo type="min"/>
        <cfvo type="percentile" val="50"/>
        <cfvo type="max"/>
        <color rgb="FF00B050"/>
        <color rgb="FFFFEB84"/>
        <color rgb="FFFF0000"/>
      </colorScale>
    </cfRule>
    <cfRule type="cellIs" dxfId="25" priority="8" operator="greaterThan">
      <formula>120</formula>
    </cfRule>
    <cfRule type="cellIs" dxfId="24" priority="9" operator="between">
      <formula>105</formula>
      <formula>120</formula>
    </cfRule>
    <cfRule type="colorScale" priority="10">
      <colorScale>
        <cfvo type="min"/>
        <cfvo type="max"/>
        <color rgb="FF92D050"/>
        <color rgb="FFFF0000"/>
      </colorScale>
    </cfRule>
  </conditionalFormatting>
  <conditionalFormatting sqref="L3:L21">
    <cfRule type="colorScale" priority="11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Q3:Q21">
    <cfRule type="cellIs" dxfId="23" priority="1" operator="between">
      <formula>-30</formula>
      <formula>-20</formula>
    </cfRule>
    <cfRule type="cellIs" dxfId="22" priority="2" operator="between">
      <formula>-40</formula>
      <formula>-30</formula>
    </cfRule>
    <cfRule type="cellIs" dxfId="21" priority="3" operator="lessThanOrEqual">
      <formula>-40</formula>
    </cfRule>
  </conditionalFormatting>
  <conditionalFormatting sqref="R3:R21">
    <cfRule type="cellIs" dxfId="20" priority="4" operator="between">
      <formula>-40</formula>
      <formula>-30</formula>
    </cfRule>
    <cfRule type="cellIs" dxfId="19" priority="5" operator="between">
      <formula>-60</formula>
      <formula>-40</formula>
    </cfRule>
    <cfRule type="cellIs" dxfId="18" priority="6" operator="lessThanOrEqual">
      <formula>-60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Sheet1 (2)</vt:lpstr>
      <vt:lpstr>Sheet1 (3)</vt:lpstr>
      <vt:lpstr>Sheet1 (4)</vt:lpstr>
      <vt:lpstr>Sheet1 (5)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Steve Mcgregor</cp:lastModifiedBy>
  <dcterms:created xsi:type="dcterms:W3CDTF">2025-11-18T03:58:15Z</dcterms:created>
  <dcterms:modified xsi:type="dcterms:W3CDTF">2026-01-13T22:11:54Z</dcterms:modified>
  <cp:category/>
</cp:coreProperties>
</file>